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085" yWindow="870" windowWidth="20730" windowHeight="8595" tabRatio="307"/>
  </bookViews>
  <sheets>
    <sheet name="Lv_xy" sheetId="2" r:id="rId1"/>
    <sheet name="Report" sheetId="4" r:id="rId2"/>
    <sheet name="Spectrum" sheetId="5" r:id="rId3"/>
  </sheets>
  <functionGroups builtInGroupCount="17"/>
  <calcPr calcId="144525"/>
</workbook>
</file>

<file path=xl/calcChain.xml><?xml version="1.0" encoding="utf-8"?>
<calcChain xmlns="http://schemas.openxmlformats.org/spreadsheetml/2006/main">
  <c r="E10" i="2" l="1"/>
  <c r="E9" i="2"/>
  <c r="E8" i="2"/>
  <c r="E7" i="2"/>
  <c r="E6" i="2"/>
  <c r="D10" i="2"/>
  <c r="D9" i="2"/>
  <c r="D8" i="2"/>
  <c r="D7" i="2"/>
  <c r="D6" i="2"/>
  <c r="F10" i="2"/>
  <c r="F9" i="2"/>
  <c r="F8" i="2"/>
  <c r="F7" i="2"/>
  <c r="F6" i="2"/>
  <c r="AT5" i="2" l="1"/>
  <c r="I15" i="2" l="1"/>
  <c r="AW6" i="2" l="1"/>
  <c r="L16" i="2"/>
  <c r="C3" i="2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O10" i="2" l="1"/>
  <c r="AX8" i="2"/>
  <c r="AW8" i="2"/>
  <c r="AX7" i="2"/>
  <c r="AW7" i="2"/>
  <c r="AX6" i="2"/>
  <c r="BD6" i="2" s="1"/>
  <c r="M16" i="2"/>
  <c r="Y10" i="2"/>
  <c r="X10" i="2"/>
  <c r="M18" i="2"/>
  <c r="L18" i="2"/>
  <c r="M17" i="2"/>
  <c r="L17" i="2"/>
  <c r="BD8" i="2" l="1"/>
  <c r="BC7" i="2"/>
  <c r="BD7" i="2"/>
  <c r="AY7" i="2"/>
  <c r="BC8" i="2"/>
  <c r="BC6" i="2"/>
  <c r="AU5" i="2" s="1"/>
  <c r="R16" i="2"/>
  <c r="J15" i="2" s="1"/>
  <c r="J6" i="2" s="1"/>
  <c r="S18" i="2"/>
  <c r="N17" i="2"/>
  <c r="R17" i="2"/>
  <c r="R18" i="2"/>
  <c r="S16" i="2"/>
  <c r="S17" i="2"/>
  <c r="BE7" i="2" l="1"/>
  <c r="T17" i="2"/>
  <c r="N8" i="2" l="1"/>
  <c r="G15" i="2" l="1"/>
  <c r="G6" i="2"/>
  <c r="AR5" i="2"/>
  <c r="R7" i="2"/>
  <c r="R10" i="2" s="1"/>
  <c r="I6" i="2" l="1"/>
  <c r="R8" i="2"/>
  <c r="Q10" i="2"/>
  <c r="P10" i="2"/>
  <c r="AD9" i="2" l="1"/>
  <c r="AC9" i="2"/>
  <c r="AD8" i="2"/>
  <c r="AC8" i="2"/>
  <c r="AD7" i="2"/>
  <c r="AC7" i="2"/>
  <c r="AE7" i="2" l="1"/>
  <c r="AE10" i="2" s="1"/>
  <c r="AF8" i="2"/>
  <c r="AE9" i="2"/>
  <c r="AD10" i="2"/>
  <c r="AE8" i="2"/>
  <c r="AF9" i="2"/>
  <c r="S9" i="2"/>
  <c r="R9" i="2"/>
  <c r="S8" i="2"/>
  <c r="S7" i="2"/>
  <c r="S10" i="2" s="1"/>
  <c r="AC10" i="2" l="1"/>
  <c r="AF7" i="2"/>
  <c r="AF10" i="2" s="1"/>
  <c r="T8" i="2"/>
  <c r="D20" i="2"/>
  <c r="AS5" i="2" l="1"/>
  <c r="H15" i="2"/>
  <c r="H6" i="2" s="1"/>
  <c r="D11" i="2"/>
</calcChain>
</file>

<file path=xl/sharedStrings.xml><?xml version="1.0" encoding="utf-8"?>
<sst xmlns="http://schemas.openxmlformats.org/spreadsheetml/2006/main" count="102" uniqueCount="60">
  <si>
    <t>x</t>
  </si>
  <si>
    <t>y</t>
  </si>
  <si>
    <t>White</t>
  </si>
  <si>
    <t>Red</t>
  </si>
  <si>
    <t>Green</t>
  </si>
  <si>
    <t>Blue</t>
  </si>
  <si>
    <t>Balck</t>
  </si>
  <si>
    <t>u'</t>
  </si>
  <si>
    <t>v'</t>
  </si>
  <si>
    <t>s</t>
  </si>
  <si>
    <t>Adjustment Range</t>
  </si>
  <si>
    <t>WB Target</t>
  </si>
  <si>
    <t>sRGB</t>
    <phoneticPr fontId="6"/>
  </si>
  <si>
    <t>x</t>
    <phoneticPr fontId="6"/>
  </si>
  <si>
    <t>y</t>
    <phoneticPr fontId="6"/>
  </si>
  <si>
    <t>u'</t>
    <phoneticPr fontId="6"/>
  </si>
  <si>
    <t>v'</t>
    <phoneticPr fontId="6"/>
  </si>
  <si>
    <t>s</t>
    <phoneticPr fontId="6"/>
  </si>
  <si>
    <t>sRGB</t>
    <phoneticPr fontId="6"/>
  </si>
  <si>
    <t>x</t>
    <phoneticPr fontId="6"/>
  </si>
  <si>
    <t>y</t>
    <phoneticPr fontId="6"/>
  </si>
  <si>
    <t>u'</t>
    <phoneticPr fontId="6"/>
  </si>
  <si>
    <t>v'</t>
    <phoneticPr fontId="6"/>
  </si>
  <si>
    <t>s</t>
    <phoneticPr fontId="6"/>
  </si>
  <si>
    <t>NTSC(x,y)</t>
    <phoneticPr fontId="6"/>
  </si>
  <si>
    <t>sRGB(x,y)</t>
    <phoneticPr fontId="6"/>
  </si>
  <si>
    <t xml:space="preserve"> sRGB(u',v')</t>
    <phoneticPr fontId="1"/>
  </si>
  <si>
    <t>DCI(u',v')</t>
    <phoneticPr fontId="1"/>
  </si>
  <si>
    <t xml:space="preserve">x </t>
    <phoneticPr fontId="6"/>
  </si>
  <si>
    <t>Average</t>
    <phoneticPr fontId="1"/>
  </si>
  <si>
    <t>x</t>
    <phoneticPr fontId="1"/>
  </si>
  <si>
    <t>y</t>
    <phoneticPr fontId="1"/>
  </si>
  <si>
    <t>u</t>
    <phoneticPr fontId="1"/>
  </si>
  <si>
    <t>v</t>
    <phoneticPr fontId="1"/>
  </si>
  <si>
    <t>contrast</t>
    <phoneticPr fontId="1"/>
  </si>
  <si>
    <t>Lv[cd/m^2]</t>
    <phoneticPr fontId="1"/>
  </si>
  <si>
    <t>NTSC ratio (x,y)</t>
    <phoneticPr fontId="1"/>
  </si>
  <si>
    <t>sRGB ratio(u',v')</t>
    <phoneticPr fontId="1"/>
  </si>
  <si>
    <t>NTSC ratio (x,y)</t>
    <phoneticPr fontId="1"/>
  </si>
  <si>
    <t>sRGB ratio(u',v')</t>
    <phoneticPr fontId="1"/>
  </si>
  <si>
    <t>DCI cover rate (u',v')</t>
    <phoneticPr fontId="1"/>
  </si>
  <si>
    <t>Average</t>
    <phoneticPr fontId="1"/>
  </si>
  <si>
    <r>
      <t xml:space="preserve">Brightness &amp; chromaticity : </t>
    </r>
    <r>
      <rPr>
        <sz val="16"/>
        <color theme="1"/>
        <rFont val="HG丸ｺﾞｼｯｸM-PRO"/>
        <family val="3"/>
        <charset val="128"/>
      </rPr>
      <t>輝度＆色度</t>
    </r>
    <rPh sb="28" eb="30">
      <t>キド</t>
    </rPh>
    <rPh sb="31" eb="33">
      <t>シキド</t>
    </rPh>
    <phoneticPr fontId="1"/>
  </si>
  <si>
    <t>RED  u'</t>
    <phoneticPr fontId="1"/>
  </si>
  <si>
    <t>Lv
[cd/m^2]</t>
    <phoneticPr fontId="1"/>
  </si>
  <si>
    <t>NTSC 
ratio (x,y)</t>
    <phoneticPr fontId="1"/>
  </si>
  <si>
    <t>DCI cover 
rate (u',v')</t>
    <phoneticPr fontId="1"/>
  </si>
  <si>
    <t>DCI cover rate (u',v')</t>
    <phoneticPr fontId="1"/>
  </si>
  <si>
    <t>Lv[cd/m^2]</t>
    <phoneticPr fontId="1"/>
  </si>
  <si>
    <r>
      <t xml:space="preserve">Brightness &amp; chromaticity : </t>
    </r>
    <r>
      <rPr>
        <sz val="18"/>
        <color theme="1"/>
        <rFont val="HG丸ｺﾞｼｯｸM-PRO"/>
        <family val="3"/>
        <charset val="128"/>
      </rPr>
      <t>輝度＆色度</t>
    </r>
    <rPh sb="28" eb="30">
      <t>キド</t>
    </rPh>
    <rPh sb="31" eb="33">
      <t>シキド</t>
    </rPh>
    <phoneticPr fontId="1"/>
  </si>
  <si>
    <t>sRGB 
ratio (u',v')</t>
    <phoneticPr fontId="1"/>
  </si>
  <si>
    <r>
      <t>NTSC</t>
    </r>
    <r>
      <rPr>
        <sz val="14"/>
        <color theme="1"/>
        <rFont val="Meiryo UI"/>
        <family val="3"/>
        <charset val="128"/>
      </rPr>
      <t>比</t>
    </r>
    <rPh sb="4" eb="5">
      <t>ヒ</t>
    </rPh>
    <phoneticPr fontId="1"/>
  </si>
  <si>
    <r>
      <t>sRGB</t>
    </r>
    <r>
      <rPr>
        <sz val="14"/>
        <color theme="1"/>
        <rFont val="Meiryo UI"/>
        <family val="3"/>
        <charset val="128"/>
      </rPr>
      <t>比</t>
    </r>
    <rPh sb="4" eb="5">
      <t>ヒ</t>
    </rPh>
    <phoneticPr fontId="1"/>
  </si>
  <si>
    <r>
      <t>DCI</t>
    </r>
    <r>
      <rPr>
        <sz val="14"/>
        <color theme="1"/>
        <rFont val="Meiryo UI"/>
        <family val="3"/>
        <charset val="128"/>
      </rPr>
      <t>カバー率</t>
    </r>
    <rPh sb="6" eb="7">
      <t>リツ</t>
    </rPh>
    <phoneticPr fontId="1"/>
  </si>
  <si>
    <t>Red u'</t>
    <phoneticPr fontId="1"/>
  </si>
  <si>
    <t>Red u'</t>
    <phoneticPr fontId="1"/>
  </si>
  <si>
    <t>92%=&lt;
(WCG case)</t>
    <phoneticPr fontId="1"/>
  </si>
  <si>
    <t>0.49=&lt;
(WCG case)</t>
    <phoneticPr fontId="1"/>
  </si>
  <si>
    <t>Target</t>
    <phoneticPr fontId="1"/>
  </si>
  <si>
    <t>125%=&lt;
(NCG case)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</si>
</sst>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_ "/>
    <numFmt numFmtId="177" formatCode="0_ "/>
    <numFmt numFmtId="178" formatCode="0.0%"/>
    <numFmt numFmtId="179" formatCode="0.000_ "/>
    <numFmt numFmtId="180" formatCode="0.0_ "/>
    <numFmt numFmtId="181" formatCode="0.0000_ "/>
    <numFmt numFmtId="182" formatCode="0.00000_ "/>
    <numFmt numFmtId="183" formatCode="0.0"/>
  </numFmts>
  <fonts count="29">
    <font>
      <sz val="12"/>
      <color theme="1"/>
      <name val="Arial"/>
      <family val="2"/>
      <charset val="128"/>
    </font>
    <font>
      <sz val="6"/>
      <name val="Arial"/>
      <family val="2"/>
      <charset val="128"/>
    </font>
    <font>
      <sz val="12"/>
      <color theme="1"/>
      <name val="Tahoma"/>
      <family val="2"/>
    </font>
    <font>
      <sz val="11"/>
      <color indexed="8"/>
      <name val="ＭＳ Ｐゴシック"/>
      <family val="3"/>
      <charset val="128"/>
    </font>
    <font>
      <sz val="16"/>
      <color theme="1"/>
      <name val="Arial"/>
      <family val="2"/>
    </font>
    <font>
      <sz val="11"/>
      <color indexed="23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Arial"/>
      <family val="2"/>
    </font>
    <font>
      <sz val="16"/>
      <color theme="1"/>
      <name val="HG丸ｺﾞｼｯｸM-PRO"/>
      <family val="3"/>
      <charset val="128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1"/>
      <color theme="1"/>
      <name val="Arial"/>
      <family val="2"/>
      <charset val="128"/>
    </font>
    <font>
      <b/>
      <sz val="14"/>
      <color indexed="9"/>
      <name val="Arial"/>
      <family val="2"/>
    </font>
    <font>
      <sz val="14"/>
      <color theme="1"/>
      <name val="Tahoma"/>
      <family val="2"/>
    </font>
    <font>
      <sz val="12"/>
      <color theme="0" tint="-0.499984740745262"/>
      <name val="Arial"/>
      <family val="2"/>
    </font>
    <font>
      <sz val="11"/>
      <color indexed="23"/>
      <name val="Arial"/>
      <family val="2"/>
    </font>
    <font>
      <sz val="11"/>
      <color theme="0" tint="-0.499984740745262"/>
      <name val="Arial"/>
      <family val="2"/>
    </font>
    <font>
      <sz val="14"/>
      <color theme="0"/>
      <name val="Tahoma"/>
      <family val="2"/>
    </font>
    <font>
      <sz val="18"/>
      <color theme="1"/>
      <name val="HG丸ｺﾞｼｯｸM-PRO"/>
      <family val="3"/>
      <charset val="128"/>
    </font>
    <font>
      <sz val="18"/>
      <color theme="1"/>
      <name val="Arial"/>
      <family val="2"/>
    </font>
    <font>
      <sz val="16"/>
      <color theme="1"/>
      <name val="Tahoma"/>
      <family val="2"/>
    </font>
    <font>
      <sz val="14"/>
      <color theme="1"/>
      <name val="Meiryo UI"/>
      <family val="3"/>
      <charset val="128"/>
    </font>
    <font>
      <b/>
      <sz val="16"/>
      <color theme="1"/>
      <name val="Tahoma"/>
      <family val="2"/>
    </font>
    <font>
      <sz val="16"/>
      <color theme="0"/>
      <name val="Tahoma"/>
      <family val="2"/>
    </font>
    <font>
      <sz val="17"/>
      <color theme="1"/>
      <name val="Tahoma"/>
      <family val="2"/>
    </font>
    <font>
      <b/>
      <sz val="14"/>
      <color rgb="FFFFFFFF"/>
      <name val="Meiryo UI"/>
      <family val="2"/>
      <charset val="128"/>
    </font>
    <font>
      <sz val="14"/>
      <color rgb="FF000000"/>
      <name val="Meiryo UI"/>
      <family val="2"/>
      <charset val="128"/>
    </font>
    <font>
      <sz val="12"/>
      <color rgb="FFFFFFFF"/>
      <name val="Arial"/>
      <family val="2"/>
      <charset val="128"/>
    </font>
    <font>
      <sz val="12"/>
      <color rgb="FFFFFFFF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D0D8E8"/>
        <bgColor indexed="64"/>
      </patternFill>
    </fill>
    <fill>
      <patternFill patternType="solid">
        <fgColor rgb="FFE9EDF4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3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4" fillId="0" borderId="0" xfId="0" applyFont="1" applyAlignment="1">
      <alignment vertical="center"/>
    </xf>
    <xf numFmtId="0" fontId="0" fillId="0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1" xfId="0" applyFont="1" applyBorder="1" applyAlignment="1">
      <alignment horizontal="center" vertical="center"/>
    </xf>
    <xf numFmtId="0" fontId="7" fillId="9" borderId="0" xfId="1" applyFont="1" applyFill="1">
      <alignment vertical="center"/>
    </xf>
    <xf numFmtId="0" fontId="3" fillId="0" borderId="0" xfId="1" applyFont="1">
      <alignment vertical="center"/>
    </xf>
    <xf numFmtId="9" fontId="7" fillId="0" borderId="0" xfId="1" applyNumberFormat="1" applyFont="1">
      <alignment vertical="center"/>
    </xf>
    <xf numFmtId="0" fontId="7" fillId="0" borderId="6" xfId="1" applyFont="1" applyBorder="1" applyAlignment="1">
      <alignment horizontal="center" vertical="center"/>
    </xf>
    <xf numFmtId="181" fontId="7" fillId="0" borderId="7" xfId="1" applyNumberFormat="1" applyFont="1" applyBorder="1">
      <alignment vertical="center"/>
    </xf>
    <xf numFmtId="181" fontId="7" fillId="0" borderId="8" xfId="1" applyNumberFormat="1" applyFont="1" applyBorder="1">
      <alignment vertical="center"/>
    </xf>
    <xf numFmtId="181" fontId="7" fillId="0" borderId="9" xfId="1" applyNumberFormat="1" applyFont="1" applyBorder="1">
      <alignment vertical="center"/>
    </xf>
    <xf numFmtId="0" fontId="7" fillId="0" borderId="0" xfId="1" applyFont="1">
      <alignment vertical="center"/>
    </xf>
    <xf numFmtId="0" fontId="7" fillId="0" borderId="10" xfId="1" applyFont="1" applyBorder="1" applyAlignment="1">
      <alignment horizontal="center" vertical="center"/>
    </xf>
    <xf numFmtId="181" fontId="7" fillId="0" borderId="11" xfId="1" applyNumberFormat="1" applyFont="1" applyBorder="1">
      <alignment vertical="center"/>
    </xf>
    <xf numFmtId="181" fontId="7" fillId="0" borderId="12" xfId="1" applyNumberFormat="1" applyFont="1" applyBorder="1">
      <alignment vertical="center"/>
    </xf>
    <xf numFmtId="181" fontId="7" fillId="0" borderId="13" xfId="1" applyNumberFormat="1" applyFont="1" applyBorder="1">
      <alignment vertical="center"/>
    </xf>
    <xf numFmtId="179" fontId="2" fillId="0" borderId="0" xfId="0" applyNumberFormat="1" applyFont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179" fontId="9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181" fontId="7" fillId="0" borderId="16" xfId="1" applyNumberFormat="1" applyFont="1" applyBorder="1">
      <alignment vertical="center"/>
    </xf>
    <xf numFmtId="181" fontId="7" fillId="0" borderId="17" xfId="1" applyNumberFormat="1" applyFont="1" applyBorder="1">
      <alignment vertical="center"/>
    </xf>
    <xf numFmtId="181" fontId="7" fillId="0" borderId="18" xfId="1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7" fillId="0" borderId="19" xfId="1" applyFont="1" applyBorder="1" applyAlignment="1">
      <alignment horizontal="center" vertical="center"/>
    </xf>
    <xf numFmtId="0" fontId="11" fillId="0" borderId="8" xfId="0" applyFont="1" applyBorder="1">
      <alignment vertical="center"/>
    </xf>
    <xf numFmtId="0" fontId="11" fillId="0" borderId="9" xfId="0" applyFont="1" applyBorder="1">
      <alignment vertical="center"/>
    </xf>
    <xf numFmtId="0" fontId="11" fillId="0" borderId="12" xfId="0" applyFont="1" applyBorder="1">
      <alignment vertical="center"/>
    </xf>
    <xf numFmtId="0" fontId="11" fillId="0" borderId="13" xfId="0" applyFont="1" applyBorder="1">
      <alignment vertical="center"/>
    </xf>
    <xf numFmtId="0" fontId="9" fillId="0" borderId="0" xfId="0" applyFont="1" applyFill="1">
      <alignment vertical="center"/>
    </xf>
    <xf numFmtId="0" fontId="12" fillId="10" borderId="0" xfId="1" applyFont="1" applyFill="1">
      <alignment vertical="center"/>
    </xf>
    <xf numFmtId="179" fontId="5" fillId="0" borderId="5" xfId="0" applyNumberFormat="1" applyFont="1" applyFill="1" applyBorder="1">
      <alignment vertical="center"/>
    </xf>
    <xf numFmtId="0" fontId="5" fillId="0" borderId="5" xfId="0" applyNumberFormat="1" applyFont="1" applyFill="1" applyBorder="1" applyAlignment="1">
      <alignment horizontal="centerContinuous" vertical="center"/>
    </xf>
    <xf numFmtId="0" fontId="5" fillId="0" borderId="5" xfId="0" applyNumberFormat="1" applyFont="1" applyFill="1" applyBorder="1">
      <alignment vertical="center"/>
    </xf>
    <xf numFmtId="0" fontId="14" fillId="0" borderId="5" xfId="0" applyNumberFormat="1" applyFont="1" applyFill="1" applyBorder="1" applyAlignment="1">
      <alignment horizontal="centerContinuous" vertical="center"/>
    </xf>
    <xf numFmtId="0" fontId="14" fillId="0" borderId="23" xfId="0" applyNumberFormat="1" applyFont="1" applyFill="1" applyBorder="1" applyAlignment="1">
      <alignment horizontal="centerContinuous" vertical="center"/>
    </xf>
    <xf numFmtId="0" fontId="14" fillId="0" borderId="22" xfId="0" applyNumberFormat="1" applyFont="1" applyFill="1" applyBorder="1" applyAlignment="1">
      <alignment horizontal="center" vertical="center"/>
    </xf>
    <xf numFmtId="0" fontId="14" fillId="0" borderId="5" xfId="0" applyNumberFormat="1" applyFont="1" applyFill="1" applyBorder="1">
      <alignment vertical="center"/>
    </xf>
    <xf numFmtId="179" fontId="14" fillId="0" borderId="5" xfId="0" applyNumberFormat="1" applyFont="1" applyFill="1" applyBorder="1">
      <alignment vertical="center"/>
    </xf>
    <xf numFmtId="182" fontId="14" fillId="0" borderId="5" xfId="0" applyNumberFormat="1" applyFont="1" applyFill="1" applyBorder="1">
      <alignment vertical="center"/>
    </xf>
    <xf numFmtId="0" fontId="15" fillId="0" borderId="5" xfId="0" applyNumberFormat="1" applyFont="1" applyFill="1" applyBorder="1" applyAlignment="1">
      <alignment horizontal="centerContinuous" vertical="center"/>
    </xf>
    <xf numFmtId="179" fontId="15" fillId="0" borderId="5" xfId="0" applyNumberFormat="1" applyFont="1" applyFill="1" applyBorder="1">
      <alignment vertical="center"/>
    </xf>
    <xf numFmtId="0" fontId="15" fillId="0" borderId="5" xfId="0" applyNumberFormat="1" applyFont="1" applyFill="1" applyBorder="1">
      <alignment vertical="center"/>
    </xf>
    <xf numFmtId="0" fontId="14" fillId="0" borderId="0" xfId="0" applyFont="1" applyFill="1">
      <alignment vertical="center"/>
    </xf>
    <xf numFmtId="0" fontId="14" fillId="0" borderId="1" xfId="0" applyFont="1" applyFill="1" applyBorder="1">
      <alignment vertical="center"/>
    </xf>
    <xf numFmtId="179" fontId="16" fillId="0" borderId="1" xfId="0" applyNumberFormat="1" applyFont="1" applyFill="1" applyBorder="1">
      <alignment vertical="center"/>
    </xf>
    <xf numFmtId="179" fontId="9" fillId="0" borderId="0" xfId="0" applyNumberFormat="1" applyFont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10" fontId="9" fillId="0" borderId="0" xfId="0" applyNumberFormat="1" applyFont="1">
      <alignment vertical="center"/>
    </xf>
    <xf numFmtId="0" fontId="13" fillId="0" borderId="1" xfId="0" applyFont="1" applyBorder="1" applyAlignment="1">
      <alignment horizontal="center" vertical="center"/>
    </xf>
    <xf numFmtId="180" fontId="13" fillId="0" borderId="1" xfId="0" applyNumberFormat="1" applyFont="1" applyBorder="1" applyAlignment="1">
      <alignment horizontal="center" vertical="center"/>
    </xf>
    <xf numFmtId="179" fontId="13" fillId="0" borderId="1" xfId="0" applyNumberFormat="1" applyFont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176" fontId="13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10" fontId="2" fillId="0" borderId="1" xfId="0" applyNumberFormat="1" applyFont="1" applyBorder="1" applyAlignment="1">
      <alignment horizontal="center" vertical="center"/>
    </xf>
    <xf numFmtId="181" fontId="7" fillId="0" borderId="0" xfId="1" applyNumberFormat="1" applyFont="1" applyBorder="1">
      <alignment vertical="center"/>
    </xf>
    <xf numFmtId="0" fontId="2" fillId="1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22" fillId="0" borderId="0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79" fontId="20" fillId="0" borderId="0" xfId="0" applyNumberFormat="1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1" xfId="0" applyFont="1" applyBorder="1" applyAlignment="1">
      <alignment horizontal="center" vertical="center"/>
    </xf>
    <xf numFmtId="0" fontId="23" fillId="11" borderId="25" xfId="0" applyFont="1" applyFill="1" applyBorder="1" applyAlignment="1">
      <alignment horizontal="center" vertical="center" wrapText="1"/>
    </xf>
    <xf numFmtId="0" fontId="23" fillId="11" borderId="26" xfId="0" applyFont="1" applyFill="1" applyBorder="1" applyAlignment="1">
      <alignment horizontal="center" vertical="center"/>
    </xf>
    <xf numFmtId="0" fontId="23" fillId="11" borderId="26" xfId="0" applyFont="1" applyFill="1" applyBorder="1" applyAlignment="1">
      <alignment horizontal="center" vertical="center" wrapText="1"/>
    </xf>
    <xf numFmtId="0" fontId="23" fillId="11" borderId="27" xfId="0" applyFont="1" applyFill="1" applyBorder="1" applyAlignment="1">
      <alignment horizontal="center" vertical="center" wrapText="1"/>
    </xf>
    <xf numFmtId="0" fontId="23" fillId="11" borderId="27" xfId="0" applyFont="1" applyFill="1" applyBorder="1" applyAlignment="1">
      <alignment horizontal="center" vertical="center"/>
    </xf>
    <xf numFmtId="180" fontId="20" fillId="0" borderId="1" xfId="0" applyNumberFormat="1" applyFont="1" applyBorder="1" applyAlignment="1">
      <alignment horizontal="center" vertical="center"/>
    </xf>
    <xf numFmtId="179" fontId="20" fillId="0" borderId="1" xfId="0" applyNumberFormat="1" applyFont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176" fontId="20" fillId="0" borderId="1" xfId="0" applyNumberFormat="1" applyFont="1" applyBorder="1" applyAlignment="1">
      <alignment horizontal="center" vertical="center"/>
    </xf>
    <xf numFmtId="0" fontId="25" fillId="13" borderId="28" xfId="0" applyFont="1" applyFill="1" applyBorder="1" applyAlignment="1">
      <alignment horizontal="center" vertical="center" wrapText="1" readingOrder="1"/>
    </xf>
    <xf numFmtId="0" fontId="26" fillId="14" borderId="29" xfId="0" applyFont="1" applyFill="1" applyBorder="1" applyAlignment="1">
      <alignment horizontal="center" vertical="center" wrapText="1" readingOrder="1"/>
    </xf>
    <xf numFmtId="183" fontId="26" fillId="14" borderId="29" xfId="0" applyNumberFormat="1" applyFont="1" applyFill="1" applyBorder="1" applyAlignment="1">
      <alignment horizontal="center" vertical="center" wrapText="1" readingOrder="1"/>
    </xf>
    <xf numFmtId="0" fontId="26" fillId="15" borderId="30" xfId="0" applyFont="1" applyFill="1" applyBorder="1" applyAlignment="1">
      <alignment horizontal="center" vertical="center" wrapText="1" readingOrder="1"/>
    </xf>
    <xf numFmtId="2" fontId="26" fillId="15" borderId="30" xfId="0" applyNumberFormat="1" applyFont="1" applyFill="1" applyBorder="1" applyAlignment="1">
      <alignment horizontal="center" vertical="center" wrapText="1" readingOrder="1"/>
    </xf>
    <xf numFmtId="0" fontId="26" fillId="14" borderId="31" xfId="0" applyFont="1" applyFill="1" applyBorder="1" applyAlignment="1">
      <alignment horizontal="center" vertical="center" wrapText="1" readingOrder="1"/>
    </xf>
    <xf numFmtId="2" fontId="26" fillId="14" borderId="31" xfId="0" applyNumberFormat="1" applyFont="1" applyFill="1" applyBorder="1" applyAlignment="1">
      <alignment horizontal="center" vertical="center" wrapText="1" readingOrder="1"/>
    </xf>
    <xf numFmtId="0" fontId="26" fillId="14" borderId="32" xfId="0" applyFont="1" applyFill="1" applyBorder="1" applyAlignment="1">
      <alignment vertical="center" wrapText="1" readingOrder="1"/>
    </xf>
    <xf numFmtId="2" fontId="26" fillId="14" borderId="32" xfId="0" applyNumberFormat="1" applyFont="1" applyFill="1" applyBorder="1" applyAlignment="1">
      <alignment horizontal="center" vertical="center" wrapText="1" readingOrder="1"/>
    </xf>
    <xf numFmtId="0" fontId="26" fillId="14" borderId="33" xfId="0" applyFont="1" applyFill="1" applyBorder="1" applyAlignment="1">
      <alignment vertical="center" wrapText="1" readingOrder="1"/>
    </xf>
    <xf numFmtId="2" fontId="26" fillId="14" borderId="33" xfId="0" applyNumberFormat="1" applyFont="1" applyFill="1" applyBorder="1" applyAlignment="1">
      <alignment horizontal="center" vertical="center" wrapText="1" readingOrder="1"/>
    </xf>
    <xf numFmtId="0" fontId="27" fillId="0" borderId="0" xfId="0" applyFont="1">
      <alignment vertical="center"/>
    </xf>
    <xf numFmtId="0" fontId="27" fillId="0" borderId="0" xfId="0" applyFont="1" applyAlignment="1">
      <alignment vertical="center" wrapText="1"/>
    </xf>
    <xf numFmtId="0" fontId="28" fillId="0" borderId="0" xfId="0" applyFont="1">
      <alignment vertical="center"/>
    </xf>
    <xf numFmtId="179" fontId="13" fillId="0" borderId="17" xfId="0" applyNumberFormat="1" applyFont="1" applyBorder="1" applyAlignment="1">
      <alignment horizontal="center" vertical="center"/>
    </xf>
    <xf numFmtId="179" fontId="13" fillId="0" borderId="24" xfId="0" applyNumberFormat="1" applyFont="1" applyBorder="1" applyAlignment="1">
      <alignment horizontal="center" vertical="center"/>
    </xf>
    <xf numFmtId="179" fontId="13" fillId="0" borderId="20" xfId="0" applyNumberFormat="1" applyFont="1" applyBorder="1" applyAlignment="1">
      <alignment horizontal="center" vertical="center"/>
    </xf>
    <xf numFmtId="177" fontId="13" fillId="0" borderId="2" xfId="0" applyNumberFormat="1" applyFont="1" applyBorder="1" applyAlignment="1">
      <alignment horizontal="center" vertical="center"/>
    </xf>
    <xf numFmtId="177" fontId="13" fillId="0" borderId="3" xfId="0" applyNumberFormat="1" applyFont="1" applyBorder="1" applyAlignment="1">
      <alignment horizontal="center" vertical="center"/>
    </xf>
    <xf numFmtId="177" fontId="13" fillId="0" borderId="4" xfId="0" applyNumberFormat="1" applyFont="1" applyBorder="1" applyAlignment="1">
      <alignment horizontal="center" vertical="center"/>
    </xf>
    <xf numFmtId="10" fontId="13" fillId="0" borderId="1" xfId="0" applyNumberFormat="1" applyFont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10" fontId="24" fillId="0" borderId="1" xfId="0" applyNumberFormat="1" applyFont="1" applyBorder="1" applyAlignment="1">
      <alignment horizontal="center" vertical="center"/>
    </xf>
    <xf numFmtId="178" fontId="24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78" fontId="24" fillId="0" borderId="17" xfId="0" applyNumberFormat="1" applyFont="1" applyBorder="1" applyAlignment="1">
      <alignment horizontal="center" vertical="center"/>
    </xf>
    <xf numFmtId="178" fontId="24" fillId="0" borderId="24" xfId="0" applyNumberFormat="1" applyFont="1" applyBorder="1" applyAlignment="1">
      <alignment horizontal="center" vertical="center"/>
    </xf>
    <xf numFmtId="178" fontId="24" fillId="0" borderId="20" xfId="0" applyNumberFormat="1" applyFont="1" applyBorder="1" applyAlignment="1">
      <alignment horizontal="center" vertical="center"/>
    </xf>
    <xf numFmtId="179" fontId="24" fillId="0" borderId="17" xfId="0" applyNumberFormat="1" applyFont="1" applyBorder="1" applyAlignment="1">
      <alignment horizontal="center" vertical="center"/>
    </xf>
    <xf numFmtId="179" fontId="24" fillId="0" borderId="24" xfId="0" applyNumberFormat="1" applyFont="1" applyBorder="1" applyAlignment="1">
      <alignment horizontal="center" vertical="center"/>
    </xf>
    <xf numFmtId="179" fontId="24" fillId="0" borderId="20" xfId="0" applyNumberFormat="1" applyFont="1" applyBorder="1" applyAlignment="1">
      <alignment horizontal="center" vertical="center"/>
    </xf>
    <xf numFmtId="177" fontId="20" fillId="0" borderId="2" xfId="0" applyNumberFormat="1" applyFont="1" applyBorder="1" applyAlignment="1">
      <alignment horizontal="center" vertical="center"/>
    </xf>
    <xf numFmtId="177" fontId="20" fillId="0" borderId="3" xfId="0" applyNumberFormat="1" applyFont="1" applyBorder="1" applyAlignment="1">
      <alignment horizontal="center" vertical="center"/>
    </xf>
    <xf numFmtId="177" fontId="20" fillId="0" borderId="4" xfId="0" applyNumberFormat="1" applyFont="1" applyBorder="1" applyAlignment="1">
      <alignment horizontal="center" vertical="center"/>
    </xf>
  </cellXfs>
  <cellStyles count="2">
    <cellStyle name="標準 10" xfId="1"/>
    <cellStyle name="常规" xfId="0" builtinId="0"/>
  </cellStyles>
  <dxfs count="0"/>
  <tableStyles count="0" defaultTableStyle="TableStyleMedium9" defaultPivotStyle="PivotStyleLight16"/>
  <colors>
    <mruColors>
      <color rgb="FF00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44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White Chroma point</a:t>
            </a:r>
          </a:p>
        </c:rich>
      </c:tx>
      <c:layout>
        <c:manualLayout>
          <c:xMode val="edge"/>
          <c:yMode val="edge"/>
          <c:x val="0.36619767599473152"/>
          <c:y val="2.79937791601866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84528567171506"/>
          <c:y val="7.4650134448306524E-2"/>
          <c:w val="0.81846760451450762"/>
          <c:h val="0.82737232346872835"/>
        </c:manualLayout>
      </c:layout>
      <c:scatterChart>
        <c:scatterStyle val="lineMarker"/>
        <c:varyColors val="0"/>
        <c:ser>
          <c:idx val="0"/>
          <c:order val="0"/>
          <c:tx>
            <c:strRef>
              <c:f>Lv_xy!$AN$15</c:f>
              <c:strCache>
                <c:ptCount val="1"/>
                <c:pt idx="0">
                  <c:v>5%</c:v>
                </c:pt>
              </c:strCache>
            </c:strRef>
          </c:tx>
          <c:spPr>
            <a:ln w="22225">
              <a:solidFill>
                <a:schemeClr val="accent5">
                  <a:lumMod val="5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Lv_xy!$AP$15:$AT$15</c:f>
              <c:numCache>
                <c:formatCode>0.0000_ </c:formatCode>
                <c:ptCount val="5"/>
                <c:pt idx="0">
                  <c:v>0.28077032976516975</c:v>
                </c:pt>
                <c:pt idx="1">
                  <c:v>0.29409417492672491</c:v>
                </c:pt>
                <c:pt idx="2">
                  <c:v>0.27929326945722466</c:v>
                </c:pt>
                <c:pt idx="3">
                  <c:v>0.26687558742110173</c:v>
                </c:pt>
                <c:pt idx="4">
                  <c:v>0.28077032976516975</c:v>
                </c:pt>
              </c:numCache>
            </c:numRef>
          </c:xVal>
          <c:yVal>
            <c:numRef>
              <c:f>Lv_xy!$AP$16:$AT$16</c:f>
              <c:numCache>
                <c:formatCode>0.0000_ </c:formatCode>
                <c:ptCount val="5"/>
                <c:pt idx="0">
                  <c:v>0.29713269380142271</c:v>
                </c:pt>
                <c:pt idx="1">
                  <c:v>0.29835174371559331</c:v>
                </c:pt>
                <c:pt idx="2">
                  <c:v>0.273868993951288</c:v>
                </c:pt>
                <c:pt idx="3">
                  <c:v>0.27193662916166572</c:v>
                </c:pt>
                <c:pt idx="4">
                  <c:v>0.29713269380142271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77-4456-BBA6-6C425FA8A70A}"/>
            </c:ext>
          </c:extLst>
        </c:ser>
        <c:ser>
          <c:idx val="1"/>
          <c:order val="1"/>
          <c:tx>
            <c:strRef>
              <c:f>Lv_xy!$AN$17</c:f>
              <c:strCache>
                <c:ptCount val="1"/>
                <c:pt idx="0">
                  <c:v>4%</c:v>
                </c:pt>
              </c:strCache>
            </c:strRef>
          </c:tx>
          <c:spPr>
            <a:ln w="22225">
              <a:solidFill>
                <a:schemeClr val="bg2">
                  <a:lumMod val="5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Lv_xy!$AP$17:$AT$17</c:f>
              <c:numCache>
                <c:formatCode>0.0000_ </c:formatCode>
                <c:ptCount val="5"/>
                <c:pt idx="0">
                  <c:v>0.2806109533760951</c:v>
                </c:pt>
                <c:pt idx="1">
                  <c:v>0.29120107683694263</c:v>
                </c:pt>
                <c:pt idx="2">
                  <c:v>0.27942975322066271</c:v>
                </c:pt>
                <c:pt idx="3">
                  <c:v>0.26942021538675298</c:v>
                </c:pt>
                <c:pt idx="4">
                  <c:v>0.2806109533760951</c:v>
                </c:pt>
              </c:numCache>
            </c:numRef>
          </c:xVal>
          <c:yVal>
            <c:numRef>
              <c:f>Lv_xy!$AP$18:$AT$18</c:f>
              <c:numCache>
                <c:formatCode>0.0000_ </c:formatCode>
                <c:ptCount val="5"/>
                <c:pt idx="0">
                  <c:v>0.29462251567349745</c:v>
                </c:pt>
                <c:pt idx="1">
                  <c:v>0.29566498463650936</c:v>
                </c:pt>
                <c:pt idx="2">
                  <c:v>0.27601861322543658</c:v>
                </c:pt>
                <c:pt idx="3">
                  <c:v>0.27452007379221055</c:v>
                </c:pt>
                <c:pt idx="4">
                  <c:v>0.29462251567349745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77-4456-BBA6-6C425FA8A70A}"/>
            </c:ext>
          </c:extLst>
        </c:ser>
        <c:ser>
          <c:idx val="2"/>
          <c:order val="2"/>
          <c:tx>
            <c:strRef>
              <c:f>Lv_xy!$AN$19</c:f>
              <c:strCache>
                <c:ptCount val="1"/>
                <c:pt idx="0">
                  <c:v>3%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ysDot"/>
            </a:ln>
          </c:spPr>
          <c:marker>
            <c:symbol val="none"/>
          </c:marker>
          <c:xVal>
            <c:numRef>
              <c:f>Lv_xy!$AP$19:$AT$19</c:f>
              <c:numCache>
                <c:formatCode>0.0000_ </c:formatCode>
                <c:ptCount val="5"/>
                <c:pt idx="0">
                  <c:v>0.28045426856077715</c:v>
                </c:pt>
                <c:pt idx="1">
                  <c:v>0.28834444724048164</c:v>
                </c:pt>
                <c:pt idx="2">
                  <c:v>0.27956863023890888</c:v>
                </c:pt>
                <c:pt idx="3">
                  <c:v>0.27200531179548137</c:v>
                </c:pt>
                <c:pt idx="4">
                  <c:v>0.28045426856077715</c:v>
                </c:pt>
              </c:numCache>
            </c:numRef>
          </c:xVal>
          <c:yVal>
            <c:numRef>
              <c:f>Lv_xy!$AP$20:$AT$20</c:f>
              <c:numCache>
                <c:formatCode>0.0000_ </c:formatCode>
                <c:ptCount val="5"/>
                <c:pt idx="0">
                  <c:v>0.29215472983223972</c:v>
                </c:pt>
                <c:pt idx="1">
                  <c:v>0.29298523877086641</c:v>
                </c:pt>
                <c:pt idx="2">
                  <c:v>0.27820592626281387</c:v>
                </c:pt>
                <c:pt idx="3">
                  <c:v>0.27711907559990856</c:v>
                </c:pt>
                <c:pt idx="4">
                  <c:v>0.29215472983223972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C77-4456-BBA6-6C425FA8A70A}"/>
            </c:ext>
          </c:extLst>
        </c:ser>
        <c:ser>
          <c:idx val="3"/>
          <c:order val="3"/>
          <c:tx>
            <c:strRef>
              <c:f>Lv_xy!$AN$21</c:f>
              <c:strCache>
                <c:ptCount val="1"/>
                <c:pt idx="0">
                  <c:v>2%</c:v>
                </c:pt>
              </c:strCache>
            </c:strRef>
          </c:tx>
          <c:spPr>
            <a:ln w="22225">
              <a:solidFill>
                <a:srgbClr val="006600"/>
              </a:solidFill>
              <a:prstDash val="sysDot"/>
            </a:ln>
          </c:spPr>
          <c:marker>
            <c:symbol val="none"/>
          </c:marker>
          <c:xVal>
            <c:numRef>
              <c:f>Lv_xy!$AP$21:$AT$21</c:f>
              <c:numCache>
                <c:formatCode>0.0000_ </c:formatCode>
                <c:ptCount val="5"/>
                <c:pt idx="0">
                  <c:v>0.28030023920203245</c:v>
                </c:pt>
                <c:pt idx="1">
                  <c:v>0.2855249773170665</c:v>
                </c:pt>
                <c:pt idx="2">
                  <c:v>0.27970993846383235</c:v>
                </c:pt>
                <c:pt idx="3">
                  <c:v>0.27463056078220915</c:v>
                </c:pt>
                <c:pt idx="4">
                  <c:v>0.28030023920203245</c:v>
                </c:pt>
              </c:numCache>
            </c:numRef>
          </c:xVal>
          <c:yVal>
            <c:numRef>
              <c:f>Lv_xy!$AP$22:$AT$22</c:f>
              <c:numCache>
                <c:formatCode>0.0000_ </c:formatCode>
                <c:ptCount val="5"/>
                <c:pt idx="0">
                  <c:v>0.28972876743201115</c:v>
                </c:pt>
                <c:pt idx="1">
                  <c:v>0.290313718178908</c:v>
                </c:pt>
                <c:pt idx="2">
                  <c:v>0.28043153080535943</c:v>
                </c:pt>
                <c:pt idx="3">
                  <c:v>0.2797327133718005</c:v>
                </c:pt>
                <c:pt idx="4">
                  <c:v>0.28972876743201115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C77-4456-BBA6-6C425FA8A70A}"/>
            </c:ext>
          </c:extLst>
        </c:ser>
        <c:ser>
          <c:idx val="4"/>
          <c:order val="4"/>
          <c:tx>
            <c:strRef>
              <c:f>Lv_xy!$AN$23</c:f>
              <c:strCache>
                <c:ptCount val="1"/>
                <c:pt idx="0">
                  <c:v>1%</c:v>
                </c:pt>
              </c:strCache>
            </c:strRef>
          </c:tx>
          <c:spPr>
            <a:ln w="15875">
              <a:solidFill>
                <a:srgbClr val="0000FF"/>
              </a:solidFill>
              <a:prstDash val="sysDot"/>
            </a:ln>
          </c:spPr>
          <c:marker>
            <c:symbol val="none"/>
          </c:marker>
          <c:xVal>
            <c:numRef>
              <c:f>Lv_xy!$AP$23:$AT$23</c:f>
              <c:numCache>
                <c:formatCode>0.0000_ </c:formatCode>
                <c:ptCount val="5"/>
                <c:pt idx="0">
                  <c:v>0.28014882868822977</c:v>
                </c:pt>
                <c:pt idx="1">
                  <c:v>0.28274330185465141</c:v>
                </c:pt>
                <c:pt idx="2">
                  <c:v>0.2798537157911184</c:v>
                </c:pt>
                <c:pt idx="3">
                  <c:v>0.27729559612241467</c:v>
                </c:pt>
                <c:pt idx="4">
                  <c:v>0.28014882868822977</c:v>
                </c:pt>
              </c:numCache>
            </c:numRef>
          </c:xVal>
          <c:yVal>
            <c:numRef>
              <c:f>Lv_xy!$AP$24:$AT$24</c:f>
              <c:numCache>
                <c:formatCode>0.0000_ </c:formatCode>
                <c:ptCount val="5"/>
                <c:pt idx="0">
                  <c:v>0.28734405183961781</c:v>
                </c:pt>
                <c:pt idx="1">
                  <c:v>0.2876515948510438</c:v>
                </c:pt>
                <c:pt idx="2">
                  <c:v>0.28269602371011404</c:v>
                </c:pt>
                <c:pt idx="3">
                  <c:v>0.28236002348614703</c:v>
                </c:pt>
                <c:pt idx="4">
                  <c:v>0.28734405183961781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DC77-4456-BBA6-6C425FA8A70A}"/>
            </c:ext>
          </c:extLst>
        </c:ser>
        <c:ser>
          <c:idx val="11"/>
          <c:order val="5"/>
          <c:tx>
            <c:strRef>
              <c:f>Lv_xy!$AN$25</c:f>
              <c:strCache>
                <c:ptCount val="1"/>
                <c:pt idx="0">
                  <c:v>WB Target</c:v>
                </c:pt>
              </c:strCache>
            </c:strRef>
          </c:tx>
          <c:spPr>
            <a:ln w="222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Lv_xy!$AP$25:$AV$25</c:f>
              <c:numCache>
                <c:formatCode>General</c:formatCode>
                <c:ptCount val="7"/>
                <c:pt idx="0">
                  <c:v>0.28045427000000001</c:v>
                </c:pt>
                <c:pt idx="1">
                  <c:v>0.28834444999999997</c:v>
                </c:pt>
                <c:pt idx="2">
                  <c:v>0.29084900000000002</c:v>
                </c:pt>
                <c:pt idx="3">
                  <c:v>0.27929326999999998</c:v>
                </c:pt>
                <c:pt idx="4">
                  <c:v>0.272005</c:v>
                </c:pt>
                <c:pt idx="5">
                  <c:v>0.27200531</c:v>
                </c:pt>
                <c:pt idx="6">
                  <c:v>0.28045427000000001</c:v>
                </c:pt>
              </c:numCache>
            </c:numRef>
          </c:xVal>
          <c:yVal>
            <c:numRef>
              <c:f>Lv_xy!$AP$26:$AV$26</c:f>
              <c:numCache>
                <c:formatCode>General</c:formatCode>
                <c:ptCount val="7"/>
                <c:pt idx="0">
                  <c:v>0.29215472999999997</c:v>
                </c:pt>
                <c:pt idx="1">
                  <c:v>0.29298523999999998</c:v>
                </c:pt>
                <c:pt idx="2">
                  <c:v>0.29298523999999998</c:v>
                </c:pt>
                <c:pt idx="3">
                  <c:v>0.27386898999999998</c:v>
                </c:pt>
                <c:pt idx="4">
                  <c:v>0.27273500000000001</c:v>
                </c:pt>
                <c:pt idx="5">
                  <c:v>0.27711908000000002</c:v>
                </c:pt>
                <c:pt idx="6">
                  <c:v>0.29215472999999997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DC77-4456-BBA6-6C425FA8A70A}"/>
            </c:ext>
          </c:extLst>
        </c:ser>
        <c:ser>
          <c:idx val="5"/>
          <c:order val="6"/>
          <c:tx>
            <c:strRef>
              <c:f>Lv_xy!$B$13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 w="9525"/>
            </c:spPr>
          </c:marker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77-4456-BBA6-6C425FA8A70A}"/>
                </c:ext>
              </c:extLst>
            </c:dLbl>
            <c:numFmt formatCode="#,##0.000_);[Red]\(#,##0.000\)" sourceLinked="0"/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Lv_xy!$E$15</c:f>
              <c:numCache>
                <c:formatCode>0.000_ </c:formatCode>
                <c:ptCount val="1"/>
              </c:numCache>
            </c:numRef>
          </c:xVal>
          <c:yVal>
            <c:numRef>
              <c:f>Lv_xy!$F$15</c:f>
              <c:numCache>
                <c:formatCode>0.000_ 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DC77-4456-BBA6-6C425FA8A70A}"/>
            </c:ext>
          </c:extLst>
        </c:ser>
        <c:ser>
          <c:idx val="6"/>
          <c:order val="7"/>
          <c:tx>
            <c:strRef>
              <c:f>Lv_xy!$B$22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diamond"/>
            <c:size val="10"/>
            <c:spPr>
              <a:ln cap="sq"/>
            </c:spPr>
          </c:marker>
          <c:xVal>
            <c:numRef>
              <c:f>Lv_xy!$E$24</c:f>
              <c:numCache>
                <c:formatCode>General</c:formatCode>
                <c:ptCount val="1"/>
              </c:numCache>
            </c:numRef>
          </c:xVal>
          <c:yVal>
            <c:numRef>
              <c:f>Lv_xy!$F$24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DC77-4456-BBA6-6C425FA8A70A}"/>
            </c:ext>
          </c:extLst>
        </c:ser>
        <c:ser>
          <c:idx val="7"/>
          <c:order val="8"/>
          <c:tx>
            <c:strRef>
              <c:f>Lv_xy!$B$31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diamond"/>
            <c:size val="10"/>
          </c:marker>
          <c:xVal>
            <c:numRef>
              <c:f>Lv_xy!$E$33</c:f>
              <c:numCache>
                <c:formatCode>General</c:formatCode>
                <c:ptCount val="1"/>
              </c:numCache>
            </c:numRef>
          </c:xVal>
          <c:yVal>
            <c:numRef>
              <c:f>Report!$G$34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DC77-4456-BBA6-6C425FA8A70A}"/>
            </c:ext>
          </c:extLst>
        </c:ser>
        <c:ser>
          <c:idx val="8"/>
          <c:order val="9"/>
          <c:tx>
            <c:strRef>
              <c:f>Lv_xy!$B$40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diamond"/>
            <c:size val="10"/>
          </c:marker>
          <c:xVal>
            <c:numRef>
              <c:f>Lv_xy!$E$42</c:f>
              <c:numCache>
                <c:formatCode>General</c:formatCode>
                <c:ptCount val="1"/>
              </c:numCache>
            </c:numRef>
          </c:xVal>
          <c:yVal>
            <c:numRef>
              <c:f>Lv_xy!$F$42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DC77-4456-BBA6-6C425FA8A70A}"/>
            </c:ext>
          </c:extLst>
        </c:ser>
        <c:ser>
          <c:idx val="9"/>
          <c:order val="10"/>
          <c:tx>
            <c:strRef>
              <c:f>Lv_xy!$B$49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diamond"/>
            <c:size val="10"/>
          </c:marker>
          <c:xVal>
            <c:numRef>
              <c:f>Lv_xy!$E$51</c:f>
              <c:numCache>
                <c:formatCode>General</c:formatCode>
                <c:ptCount val="1"/>
              </c:numCache>
            </c:numRef>
          </c:xVal>
          <c:yVal>
            <c:numRef>
              <c:f>Lv_xy!$F$51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DC77-4456-BBA6-6C425FA8A70A}"/>
            </c:ext>
          </c:extLst>
        </c:ser>
        <c:ser>
          <c:idx val="10"/>
          <c:order val="11"/>
          <c:tx>
            <c:strRef>
              <c:f>Lv_xy!$B$58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diamond"/>
            <c:size val="10"/>
          </c:marker>
          <c:xVal>
            <c:numRef>
              <c:f>Lv_xy!$E$60</c:f>
              <c:numCache>
                <c:formatCode>General</c:formatCode>
                <c:ptCount val="1"/>
              </c:numCache>
            </c:numRef>
          </c:xVal>
          <c:yVal>
            <c:numRef>
              <c:f>Lv_xy!$F$60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DC77-4456-BBA6-6C425FA8A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58912"/>
        <c:axId val="127169280"/>
      </c:scatterChart>
      <c:valAx>
        <c:axId val="127158912"/>
        <c:scaling>
          <c:orientation val="minMax"/>
        </c:scaling>
        <c:delete val="0"/>
        <c:axPos val="b"/>
        <c:majorGridlines/>
        <c:minorGridlines>
          <c:spPr>
            <a:ln w="3175">
              <a:solidFill>
                <a:sysClr val="windowText" lastClr="000000">
                  <a:tint val="50000"/>
                  <a:shade val="95000"/>
                  <a:satMod val="105000"/>
                </a:sysClr>
              </a:solidFill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lang="ja-JP"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 sz="1400"/>
                  <a:t>x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_ " sourceLinked="0"/>
        <c:majorTickMark val="out"/>
        <c:minorTickMark val="none"/>
        <c:tickLblPos val="nextTo"/>
        <c:spPr>
          <a:ln>
            <a:noFill/>
            <a:prstDash val="dash"/>
          </a:ln>
        </c:spPr>
        <c:txPr>
          <a:bodyPr rot="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27169280"/>
        <c:crosses val="autoZero"/>
        <c:crossBetween val="midCat"/>
      </c:valAx>
      <c:valAx>
        <c:axId val="127169280"/>
        <c:scaling>
          <c:orientation val="minMax"/>
          <c:min val="0.27"/>
        </c:scaling>
        <c:delete val="0"/>
        <c:axPos val="l"/>
        <c:majorGridlines>
          <c:spPr>
            <a:ln>
              <a:solidFill>
                <a:sysClr val="windowText" lastClr="000000">
                  <a:tint val="50000"/>
                  <a:shade val="95000"/>
                  <a:satMod val="105000"/>
                </a:sysClr>
              </a:solidFill>
            </a:ln>
          </c:spPr>
        </c:majorGridlines>
        <c:minorGridlines>
          <c:spPr>
            <a:ln w="3175"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lang="ja-JP"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 sz="1400"/>
                  <a:t>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_ " sourceLinked="0"/>
        <c:majorTickMark val="out"/>
        <c:minorTickMark val="none"/>
        <c:tickLblPos val="nextTo"/>
        <c:txPr>
          <a:bodyPr rot="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27158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9522595322864187"/>
          <c:y val="7.4298484069376405E-2"/>
          <c:w val="0.20214385959728767"/>
          <c:h val="0.614104387186343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68298527901387"/>
          <c:y val="2.6124476654950997E-2"/>
          <c:w val="0.78079734598392558"/>
          <c:h val="0.85242605054990961"/>
        </c:manualLayout>
      </c:layout>
      <c:scatterChart>
        <c:scatterStyle val="lineMarker"/>
        <c:varyColors val="0"/>
        <c:ser>
          <c:idx val="0"/>
          <c:order val="0"/>
          <c:tx>
            <c:strRef>
              <c:f>Lv_xy!$AB$3</c:f>
              <c:strCache>
                <c:ptCount val="1"/>
                <c:pt idx="0">
                  <c:v>Average</c:v>
                </c:pt>
              </c:strCache>
            </c:strRef>
          </c:tx>
          <c:spPr>
            <a:ln w="508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4C1-459E-96C0-09BA21C88AF7}"/>
                </c:ext>
              </c:extLst>
            </c:dLbl>
            <c:dLbl>
              <c:idx val="1"/>
              <c:layout>
                <c:manualLayout>
                  <c:x val="8.2815734989648056E-3"/>
                  <c:y val="-1.8454440599769303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84C1-459E-96C0-09BA21C88AF7}"/>
                </c:ext>
              </c:extLst>
            </c:dLbl>
            <c:dLbl>
              <c:idx val="2"/>
              <c:layout>
                <c:manualLayout>
                  <c:x val="1.8633540372670808E-2"/>
                  <c:y val="2.076124567474068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84C1-459E-96C0-09BA21C88AF7}"/>
                </c:ext>
              </c:extLst>
            </c:dLbl>
            <c:dLbl>
              <c:idx val="3"/>
              <c:layout>
                <c:manualLayout>
                  <c:x val="-3.7267080745341616E-2"/>
                  <c:y val="5.997693194925097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84C1-459E-96C0-09BA21C88AF7}"/>
                </c:ext>
              </c:extLst>
            </c:dLbl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lang="ja-JP" sz="1100">
                    <a:solidFill>
                      <a:srgbClr val="0000FF"/>
                    </a:solidFill>
                    <a:latin typeface="Arial" pitchFamily="34" charset="0"/>
                    <a:ea typeface="Tahoma" pitchFamily="34" charset="0"/>
                    <a:cs typeface="Arial" pitchFamily="34" charset="0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Lv_xy!$AC$7:$AC$10</c:f>
              <c:numCache>
                <c:formatCode>0.000_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Lv_xy!$AD$7:$AD$10</c:f>
              <c:numCache>
                <c:formatCode>0.000_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4C1-459E-96C0-09BA21C88AF7}"/>
            </c:ext>
          </c:extLst>
        </c:ser>
        <c:ser>
          <c:idx val="3"/>
          <c:order val="1"/>
          <c:tx>
            <c:strRef>
              <c:f>Lv_xy!$L$4</c:f>
              <c:strCache>
                <c:ptCount val="1"/>
                <c:pt idx="0">
                  <c:v>NTSC(x,y)</c:v>
                </c:pt>
              </c:strCache>
            </c:strRef>
          </c:tx>
          <c:spPr>
            <a:ln w="508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4C1-459E-96C0-09BA21C88AF7}"/>
                </c:ext>
              </c:extLst>
            </c:dLbl>
            <c:dLbl>
              <c:idx val="1"/>
              <c:layout>
                <c:manualLayout>
                  <c:x val="-0.1227640566668307"/>
                  <c:y val="-2.5374855824682813E-2"/>
                </c:manualLayout>
              </c:layout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chemeClr val="accent6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84C1-459E-96C0-09BA21C88AF7}"/>
                </c:ext>
              </c:extLst>
            </c:dLbl>
            <c:dLbl>
              <c:idx val="2"/>
              <c:layout>
                <c:manualLayout>
                  <c:x val="-0.16003113741217237"/>
                  <c:y val="2.3068050749711588E-2"/>
                </c:manualLayout>
              </c:layout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chemeClr val="accent6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84C1-459E-96C0-09BA21C88AF7}"/>
                </c:ext>
              </c:extLst>
            </c:dLbl>
            <c:dLbl>
              <c:idx val="3"/>
              <c:layout>
                <c:manualLayout>
                  <c:x val="-0.21800215190492586"/>
                  <c:y val="0"/>
                </c:manualLayout>
              </c:layout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chemeClr val="accent6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84C1-459E-96C0-09BA21C88AF7}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lang="ja-JP" sz="1050">
                    <a:solidFill>
                      <a:schemeClr val="accent6">
                        <a:lumMod val="50000"/>
                      </a:schemeClr>
                    </a:solidFill>
                  </a:defRPr>
                </a:pPr>
                <a:endParaRPr lang="zh-CN"/>
              </a:p>
            </c:txPr>
            <c:dLblPos val="l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Lv_xy!$L$7:$L$10</c:f>
              <c:numCache>
                <c:formatCode>0.000_ </c:formatCode>
                <c:ptCount val="4"/>
                <c:pt idx="0">
                  <c:v>0.67</c:v>
                </c:pt>
                <c:pt idx="1">
                  <c:v>0.21</c:v>
                </c:pt>
                <c:pt idx="2">
                  <c:v>0.14000000000000001</c:v>
                </c:pt>
                <c:pt idx="3">
                  <c:v>0.67</c:v>
                </c:pt>
              </c:numCache>
            </c:numRef>
          </c:xVal>
          <c:yVal>
            <c:numRef>
              <c:f>Lv_xy!$M$7:$M$10</c:f>
              <c:numCache>
                <c:formatCode>0.000_ </c:formatCode>
                <c:ptCount val="4"/>
                <c:pt idx="0">
                  <c:v>0.33</c:v>
                </c:pt>
                <c:pt idx="1">
                  <c:v>0.71</c:v>
                </c:pt>
                <c:pt idx="2">
                  <c:v>0.08</c:v>
                </c:pt>
                <c:pt idx="3">
                  <c:v>0.33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84C1-459E-96C0-09BA21C88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79232"/>
        <c:axId val="128481152"/>
      </c:scatterChart>
      <c:valAx>
        <c:axId val="128479232"/>
        <c:scaling>
          <c:orientation val="minMax"/>
          <c:min val="0.1"/>
        </c:scaling>
        <c:delete val="0"/>
        <c:axPos val="b"/>
        <c:majorGridlines/>
        <c:minorGridlines>
          <c:spPr>
            <a:ln w="3175"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en-US" altLang="ja-JP" sz="1400"/>
                  <a:t>x</a:t>
                </a:r>
                <a:endParaRPr lang="ja-JP" altLang="en-US" sz="1400"/>
              </a:p>
            </c:rich>
          </c:tx>
          <c:overlay val="0"/>
        </c:title>
        <c:numFmt formatCode="0.0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lgDash"/>
          </a:ln>
        </c:spPr>
        <c:txPr>
          <a:bodyPr rot="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28481152"/>
        <c:crosses val="autoZero"/>
        <c:crossBetween val="midCat"/>
        <c:majorUnit val="0.1"/>
        <c:minorUnit val="0.05"/>
      </c:valAx>
      <c:valAx>
        <c:axId val="1284811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en-US" altLang="ja-JP" sz="1400"/>
                  <a:t>y</a:t>
                </a:r>
                <a:endParaRPr lang="ja-JP" altLang="en-US" sz="1400"/>
              </a:p>
            </c:rich>
          </c:tx>
          <c:overlay val="0"/>
        </c:title>
        <c:numFmt formatCode="0.0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lgDash"/>
          </a:ln>
        </c:spPr>
        <c:txPr>
          <a:bodyPr rot="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28479232"/>
        <c:crosses val="autoZero"/>
        <c:crossBetween val="midCat"/>
        <c:majorUnit val="0.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948240165631459"/>
          <c:y val="6.0293708961120393E-2"/>
          <c:w val="0.26730848861283857"/>
          <c:h val="0.127394127637159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0.98399999999999999" l="0.78700000000000003" r="0.78700000000000003" t="0.98399999999999999" header="0.51200000000000001" footer="0.512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68298527901387"/>
          <c:y val="2.6124476654950997E-2"/>
          <c:w val="0.78007776201888213"/>
          <c:h val="0.85648221307976669"/>
        </c:manualLayout>
      </c:layout>
      <c:scatterChart>
        <c:scatterStyle val="lineMarker"/>
        <c:varyColors val="0"/>
        <c:ser>
          <c:idx val="0"/>
          <c:order val="0"/>
          <c:tx>
            <c:strRef>
              <c:f>Lv_xy!$AB$3</c:f>
              <c:strCache>
                <c:ptCount val="1"/>
                <c:pt idx="0">
                  <c:v>Average</c:v>
                </c:pt>
              </c:strCache>
            </c:strRef>
          </c:tx>
          <c:spPr>
            <a:ln w="508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1"/>
              <c:layout>
                <c:manualLayout>
                  <c:x val="-6.2111801242236602E-3"/>
                  <c:y val="-3.6908881199538633E-2"/>
                </c:manualLayout>
              </c:layout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rgbClr val="0000FF"/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860-4391-991F-74DD73B3DCE8}"/>
                </c:ext>
              </c:extLst>
            </c:dLbl>
            <c:dLbl>
              <c:idx val="2"/>
              <c:layout>
                <c:manualLayout>
                  <c:x val="1.4492753623188409E-2"/>
                  <c:y val="9.227220299884575E-3"/>
                </c:manualLayout>
              </c:layout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rgbClr val="0000FF"/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9860-4391-991F-74DD73B3DCE8}"/>
                </c:ext>
              </c:extLst>
            </c:dLbl>
            <c:dLbl>
              <c:idx val="3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rgbClr val="0000FF"/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 sz="1050">
                    <a:solidFill>
                      <a:srgbClr val="0000FF"/>
                    </a:solidFill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Lv_xy!$AE$7:$AE$10</c:f>
              <c:numCache>
                <c:formatCode>0.000_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Lv_xy!$AF$7:$AF$10</c:f>
              <c:numCache>
                <c:formatCode>0.000_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860-4391-991F-74DD73B3DCE8}"/>
            </c:ext>
          </c:extLst>
        </c:ser>
        <c:ser>
          <c:idx val="3"/>
          <c:order val="1"/>
          <c:tx>
            <c:strRef>
              <c:f>Lv_xy!$V$4</c:f>
              <c:strCache>
                <c:ptCount val="1"/>
                <c:pt idx="0">
                  <c:v>DCI(u',v')</c:v>
                </c:pt>
              </c:strCache>
            </c:strRef>
          </c:tx>
          <c:spPr>
            <a:ln w="508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60-4391-991F-74DD73B3DCE8}"/>
                </c:ext>
              </c:extLst>
            </c:dLbl>
            <c:dLbl>
              <c:idx val="3"/>
              <c:layout>
                <c:manualLayout>
                  <c:x val="-0.15399585921325051"/>
                  <c:y val="-4.38292964244520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9860-4391-991F-74DD73B3DCE8}"/>
                </c:ext>
              </c:extLst>
            </c:dLbl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lang="ja-JP" sz="1050">
                    <a:solidFill>
                      <a:schemeClr val="accent6">
                        <a:lumMod val="50000"/>
                      </a:schemeClr>
                    </a:solidFill>
                  </a:defRPr>
                </a:pPr>
                <a:endParaRPr lang="zh-CN"/>
              </a:p>
            </c:txPr>
            <c:dLblPos val="l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Lv_xy!$X$7:$X$10</c:f>
              <c:numCache>
                <c:formatCode>0.000_ </c:formatCode>
                <c:ptCount val="4"/>
                <c:pt idx="0">
                  <c:v>0.49635036496350371</c:v>
                </c:pt>
                <c:pt idx="1">
                  <c:v>9.8604651162790699E-2</c:v>
                </c:pt>
                <c:pt idx="2">
                  <c:v>0.17543859649122806</c:v>
                </c:pt>
                <c:pt idx="3">
                  <c:v>0.49635036496350371</c:v>
                </c:pt>
              </c:numCache>
            </c:numRef>
          </c:xVal>
          <c:yVal>
            <c:numRef>
              <c:f>Lv_xy!$Y$7:$Y$10</c:f>
              <c:numCache>
                <c:formatCode>0.000_ </c:formatCode>
                <c:ptCount val="4"/>
                <c:pt idx="0">
                  <c:v>0.52554744525547448</c:v>
                </c:pt>
                <c:pt idx="1">
                  <c:v>0.57767441860465107</c:v>
                </c:pt>
                <c:pt idx="2">
                  <c:v>0.15789473684210528</c:v>
                </c:pt>
                <c:pt idx="3">
                  <c:v>0.52554744525547448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9860-4391-991F-74DD73B3D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248512"/>
        <c:axId val="133250432"/>
      </c:scatterChart>
      <c:valAx>
        <c:axId val="13324851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en-US" altLang="ja-JP" sz="1400"/>
                  <a:t>u'</a:t>
                </a:r>
                <a:endParaRPr lang="ja-JP" altLang="en-US" sz="1400"/>
              </a:p>
            </c:rich>
          </c:tx>
          <c:overlay val="0"/>
        </c:title>
        <c:numFmt formatCode="0.0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33250432"/>
        <c:crosses val="autoZero"/>
        <c:crossBetween val="midCat"/>
        <c:majorUnit val="0.1"/>
        <c:minorUnit val="0.05"/>
      </c:valAx>
      <c:valAx>
        <c:axId val="133250432"/>
        <c:scaling>
          <c:orientation val="minMax"/>
          <c:max val="0.70000000000000062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lang="ja-JP" sz="1400"/>
                </a:pPr>
                <a:r>
                  <a:rPr lang="en-US" altLang="ja-JP" sz="1400"/>
                  <a:t>v'</a:t>
                </a:r>
                <a:endParaRPr lang="ja-JP" altLang="en-US" sz="1400"/>
              </a:p>
            </c:rich>
          </c:tx>
          <c:overlay val="0"/>
        </c:title>
        <c:numFmt formatCode="0.0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33248512"/>
        <c:crosses val="autoZero"/>
        <c:crossBetween val="midCat"/>
        <c:majorUnit val="0.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818832428555161"/>
          <c:y val="6.3605154891970717E-2"/>
          <c:w val="0.23282616846807189"/>
          <c:h val="9.9117056734690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0.98399999999999999" l="0.78700000000000003" r="0.78700000000000003" t="0.98399999999999999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73495765859456"/>
          <c:y val="2.7055336327762892E-2"/>
          <c:w val="0.79775351194308264"/>
          <c:h val="0.86085068465749393"/>
        </c:manualLayout>
      </c:layout>
      <c:scatterChart>
        <c:scatterStyle val="lineMarker"/>
        <c:varyColors val="0"/>
        <c:ser>
          <c:idx val="0"/>
          <c:order val="0"/>
          <c:tx>
            <c:strRef>
              <c:f>Lv_xy!$AB$3</c:f>
              <c:strCache>
                <c:ptCount val="1"/>
                <c:pt idx="0">
                  <c:v>Average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3.1185031185031201E-2"/>
                  <c:y val="-3.456221198156683E-2"/>
                </c:manualLayout>
              </c:layout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rgbClr val="0000FF"/>
                      </a:solidFill>
                      <a:latin typeface="Arial" pitchFamily="34" charset="0"/>
                      <a:cs typeface="Arial" pitchFamily="34" charset="0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D469-4A91-8275-2C11BB49BBB7}"/>
                </c:ext>
              </c:extLst>
            </c:dLbl>
            <c:dLbl>
              <c:idx val="2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rgbClr val="0000FF"/>
                      </a:solidFill>
                      <a:latin typeface="Arial" pitchFamily="34" charset="0"/>
                      <a:cs typeface="Arial" pitchFamily="34" charset="0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3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rgbClr val="0000FF"/>
                      </a:solidFill>
                      <a:latin typeface="Arial" pitchFamily="34" charset="0"/>
                      <a:cs typeface="Arial" pitchFamily="34" charset="0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 sz="1050">
                    <a:solidFill>
                      <a:srgbClr val="0000FF"/>
                    </a:solidFill>
                    <a:latin typeface="Arial" pitchFamily="34" charset="0"/>
                    <a:cs typeface="Arial" pitchFamily="34" charset="0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Lv_xy!$AE$7:$AE$10</c:f>
              <c:numCache>
                <c:formatCode>0.000_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Lv_xy!$AF$7:$AF$10</c:f>
              <c:numCache>
                <c:formatCode>0.000_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469-4A91-8275-2C11BB49BBB7}"/>
            </c:ext>
          </c:extLst>
        </c:ser>
        <c:ser>
          <c:idx val="1"/>
          <c:order val="1"/>
          <c:tx>
            <c:strRef>
              <c:f>Lv_xy!$R$4</c:f>
              <c:strCache>
                <c:ptCount val="1"/>
                <c:pt idx="0">
                  <c:v> sRGB(u',v')</c:v>
                </c:pt>
              </c:strCache>
            </c:strRef>
          </c:tx>
          <c:spPr>
            <a:ln w="508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69-4A91-8275-2C11BB49BBB7}"/>
                </c:ext>
              </c:extLst>
            </c:dLbl>
            <c:dLbl>
              <c:idx val="1"/>
              <c:layout>
                <c:manualLayout>
                  <c:x val="-0.1669335537839475"/>
                  <c:y val="2.9953917050691416E-2"/>
                </c:manualLayout>
              </c:layout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chemeClr val="accent6">
                          <a:lumMod val="50000"/>
                        </a:schemeClr>
                      </a:solidFill>
                      <a:latin typeface="Arial" pitchFamily="34" charset="0"/>
                      <a:cs typeface="Arial" pitchFamily="34" charset="0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D469-4A91-8275-2C11BB49BBB7}"/>
                </c:ext>
              </c:extLst>
            </c:dLbl>
            <c:dLbl>
              <c:idx val="2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chemeClr val="accent6">
                          <a:lumMod val="50000"/>
                        </a:schemeClr>
                      </a:solidFill>
                      <a:latin typeface="Arial" pitchFamily="34" charset="0"/>
                      <a:cs typeface="Arial" pitchFamily="34" charset="0"/>
                    </a:defRPr>
                  </a:pPr>
                  <a:endParaRPr lang="zh-CN"/>
                </a:p>
              </c:txPr>
              <c:dLblPos val="l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0.19603958288997694"/>
                  <c:y val="2.0737327188940349E-2"/>
                </c:manualLayout>
              </c:layout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lang="ja-JP" sz="1050">
                      <a:solidFill>
                        <a:schemeClr val="accent6">
                          <a:lumMod val="50000"/>
                        </a:schemeClr>
                      </a:solidFill>
                      <a:latin typeface="Arial" pitchFamily="34" charset="0"/>
                      <a:cs typeface="Arial" pitchFamily="34" charset="0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D469-4A91-8275-2C11BB49BB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 sz="1050">
                    <a:solidFill>
                      <a:schemeClr val="accent6">
                        <a:lumMod val="50000"/>
                      </a:schemeClr>
                    </a:solidFill>
                    <a:latin typeface="Arial" pitchFamily="34" charset="0"/>
                    <a:cs typeface="Arial" pitchFamily="34" charset="0"/>
                  </a:defRPr>
                </a:pPr>
                <a:endParaRPr lang="zh-CN"/>
              </a:p>
            </c:txPr>
            <c:dLblPos val="l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Lv_xy!$R$7:$R$10</c:f>
              <c:numCache>
                <c:formatCode>0.000_ </c:formatCode>
                <c:ptCount val="4"/>
                <c:pt idx="0">
                  <c:v>0.45070422535211269</c:v>
                </c:pt>
                <c:pt idx="1">
                  <c:v>0.125</c:v>
                </c:pt>
                <c:pt idx="2">
                  <c:v>0.17543859649122806</c:v>
                </c:pt>
                <c:pt idx="3">
                  <c:v>0.45070422535211269</c:v>
                </c:pt>
              </c:numCache>
            </c:numRef>
          </c:xVal>
          <c:yVal>
            <c:numRef>
              <c:f>Lv_xy!$S$7:$S$10</c:f>
              <c:numCache>
                <c:formatCode>0.000_ </c:formatCode>
                <c:ptCount val="4"/>
                <c:pt idx="0">
                  <c:v>0.522887323943662</c:v>
                </c:pt>
                <c:pt idx="1">
                  <c:v>0.5625</c:v>
                </c:pt>
                <c:pt idx="2">
                  <c:v>0.15789473684210528</c:v>
                </c:pt>
                <c:pt idx="3">
                  <c:v>0.522887323943662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D469-4A91-8275-2C11BB49B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75936"/>
        <c:axId val="133190400"/>
      </c:scatterChart>
      <c:valAx>
        <c:axId val="133175936"/>
        <c:scaling>
          <c:orientation val="minMax"/>
        </c:scaling>
        <c:delete val="0"/>
        <c:axPos val="b"/>
        <c:majorGridlines/>
        <c:minorGridlines>
          <c:spPr>
            <a:ln w="3175"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lang="ja-JP" sz="1400" b="0">
                    <a:latin typeface="Arial" pitchFamily="34" charset="0"/>
                    <a:ea typeface="Tahoma" pitchFamily="34" charset="0"/>
                    <a:cs typeface="Arial" pitchFamily="34" charset="0"/>
                  </a:defRPr>
                </a:pPr>
                <a:r>
                  <a:rPr lang="en-US" altLang="ja-JP" sz="1400" b="0">
                    <a:latin typeface="Arial" pitchFamily="34" charset="0"/>
                    <a:ea typeface="Tahoma" pitchFamily="34" charset="0"/>
                    <a:cs typeface="Arial" pitchFamily="34" charset="0"/>
                  </a:rPr>
                  <a:t>u'</a:t>
                </a:r>
                <a:endParaRPr lang="ja-JP" altLang="en-US" sz="1400" b="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.00_ " sourceLinked="0"/>
        <c:majorTickMark val="out"/>
        <c:minorTickMark val="none"/>
        <c:tickLblPos val="nextTo"/>
        <c:txPr>
          <a:bodyPr/>
          <a:lstStyle/>
          <a:p>
            <a:pPr>
              <a:defRPr lang="ja-JP" sz="1200">
                <a:latin typeface="Arial" pitchFamily="34" charset="0"/>
                <a:cs typeface="Arial" pitchFamily="34" charset="0"/>
              </a:defRPr>
            </a:pPr>
            <a:endParaRPr lang="zh-CN"/>
          </a:p>
        </c:txPr>
        <c:crossAx val="133190400"/>
        <c:crosses val="autoZero"/>
        <c:crossBetween val="midCat"/>
        <c:majorUnit val="0.1"/>
        <c:minorUnit val="0.05"/>
      </c:valAx>
      <c:valAx>
        <c:axId val="133190400"/>
        <c:scaling>
          <c:orientation val="minMax"/>
          <c:max val="0.70000000000000062"/>
          <c:min val="0"/>
        </c:scaling>
        <c:delete val="0"/>
        <c:axPos val="l"/>
        <c:majorGridlines/>
        <c:minorGridlines>
          <c:spPr>
            <a:ln w="3175"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lang="ja-JP" sz="1400" b="0">
                    <a:latin typeface="Arial" pitchFamily="34" charset="0"/>
                    <a:cs typeface="Arial" pitchFamily="34" charset="0"/>
                  </a:defRPr>
                </a:pPr>
                <a:r>
                  <a:rPr lang="en-US" altLang="ja-JP" sz="1400" b="0">
                    <a:latin typeface="Arial" pitchFamily="34" charset="0"/>
                    <a:cs typeface="Arial" pitchFamily="34" charset="0"/>
                  </a:rPr>
                  <a:t>v'</a:t>
                </a:r>
                <a:endParaRPr lang="ja-JP" altLang="en-US" sz="1400" b="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.00_ " sourceLinked="0"/>
        <c:majorTickMark val="out"/>
        <c:minorTickMark val="none"/>
        <c:tickLblPos val="nextTo"/>
        <c:txPr>
          <a:bodyPr/>
          <a:lstStyle/>
          <a:p>
            <a:pPr>
              <a:defRPr lang="ja-JP" sz="1200">
                <a:latin typeface="Arial" pitchFamily="34" charset="0"/>
                <a:cs typeface="Arial" pitchFamily="34" charset="0"/>
              </a:defRPr>
            </a:pPr>
            <a:endParaRPr lang="zh-CN"/>
          </a:p>
        </c:txPr>
        <c:crossAx val="133175936"/>
        <c:crosses val="autoZero"/>
        <c:crossBetween val="midCat"/>
        <c:minorUnit val="0.05"/>
      </c:valAx>
    </c:plotArea>
    <c:legend>
      <c:legendPos val="r"/>
      <c:layout>
        <c:manualLayout>
          <c:xMode val="edge"/>
          <c:yMode val="edge"/>
          <c:x val="0.59951168006285582"/>
          <c:y val="4.9493994702275675E-2"/>
          <c:w val="0.25300846828108758"/>
          <c:h val="0.1130883235438526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lang="ja-JP" sz="1400">
              <a:latin typeface="Arial" pitchFamily="34" charset="0"/>
              <a:cs typeface="Arial" pitchFamily="34" charset="0"/>
            </a:defRPr>
          </a:pPr>
          <a:endParaRPr lang="zh-CN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Spectrum!$B$1</c:f>
              <c:strCache>
                <c:ptCount val="1"/>
                <c:pt idx="0">
                  <c:v>_White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Spectrum!$B$2:$B$402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01-46CF-8648-E064E6310307}"/>
            </c:ext>
          </c:extLst>
        </c:ser>
        <c:ser>
          <c:idx val="1"/>
          <c:order val="1"/>
          <c:tx>
            <c:strRef>
              <c:f>Spectrum!$C$1</c:f>
              <c:strCache>
                <c:ptCount val="1"/>
                <c:pt idx="0">
                  <c:v>_Red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Spectrum!$C$2:$C$402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01-46CF-8648-E064E6310307}"/>
            </c:ext>
          </c:extLst>
        </c:ser>
        <c:ser>
          <c:idx val="2"/>
          <c:order val="2"/>
          <c:tx>
            <c:strRef>
              <c:f>Spectrum!$D$1</c:f>
              <c:strCache>
                <c:ptCount val="1"/>
                <c:pt idx="0">
                  <c:v>_Green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Spectrum!$D$2:$D$402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C01-46CF-8648-E064E6310307}"/>
            </c:ext>
          </c:extLst>
        </c:ser>
        <c:ser>
          <c:idx val="3"/>
          <c:order val="3"/>
          <c:tx>
            <c:strRef>
              <c:f>Spectrum!$E$1</c:f>
              <c:strCache>
                <c:ptCount val="1"/>
                <c:pt idx="0">
                  <c:v>_Blue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Spectrum!$E$2:$E$402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C01-46CF-8648-E064E6310307}"/>
            </c:ext>
          </c:extLst>
        </c:ser>
        <c:ser>
          <c:idx val="4"/>
          <c:order val="4"/>
          <c:tx>
            <c:strRef>
              <c:f>Spectrum!$F$1</c:f>
              <c:strCache>
                <c:ptCount val="1"/>
                <c:pt idx="0">
                  <c:v>_Black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Spectrum!$F$2:$F$402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C01-46CF-8648-E064E6310307}"/>
            </c:ext>
          </c:extLst>
        </c:ser>
        <c:ser>
          <c:idx val="5"/>
          <c:order val="5"/>
          <c:tx>
            <c:strRef>
              <c:f>Spectrum!$G$1</c:f>
              <c:strCache>
                <c:ptCount val="1"/>
                <c:pt idx="0">
                  <c:v>_White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Spectrum!$G$2:$G$402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C01-46CF-8648-E064E6310307}"/>
            </c:ext>
          </c:extLst>
        </c:ser>
        <c:ser>
          <c:idx val="6"/>
          <c:order val="6"/>
          <c:tx>
            <c:strRef>
              <c:f>Spectrum!$H$1</c:f>
              <c:strCache>
                <c:ptCount val="1"/>
                <c:pt idx="0">
                  <c:v>_Red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Spectrum!$H$2:$H$402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FC01-46CF-8648-E064E6310307}"/>
            </c:ext>
          </c:extLst>
        </c:ser>
        <c:ser>
          <c:idx val="7"/>
          <c:order val="7"/>
          <c:tx>
            <c:strRef>
              <c:f>Spectrum!$I$1</c:f>
              <c:strCache>
                <c:ptCount val="1"/>
                <c:pt idx="0">
                  <c:v>_Green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Spectrum!$I$2:$I$402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FC01-46CF-8648-E064E6310307}"/>
            </c:ext>
          </c:extLst>
        </c:ser>
        <c:ser>
          <c:idx val="8"/>
          <c:order val="8"/>
          <c:tx>
            <c:strRef>
              <c:f>Spectrum!$J$1</c:f>
              <c:strCache>
                <c:ptCount val="1"/>
                <c:pt idx="0">
                  <c:v>_Blue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Spectrum!$J$2:$J$402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FC01-46CF-8648-E064E6310307}"/>
            </c:ext>
          </c:extLst>
        </c:ser>
        <c:ser>
          <c:idx val="9"/>
          <c:order val="9"/>
          <c:tx>
            <c:strRef>
              <c:f>Spectrum!$K$1</c:f>
              <c:strCache>
                <c:ptCount val="1"/>
                <c:pt idx="0">
                  <c:v>_Black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Spectrum!$K$2:$K$402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FC01-46CF-8648-E064E6310307}"/>
            </c:ext>
          </c:extLst>
        </c:ser>
        <c:ser>
          <c:idx val="10"/>
          <c:order val="10"/>
          <c:tx>
            <c:strRef>
              <c:f>Spectrum!$L$1</c:f>
              <c:strCache>
                <c:ptCount val="1"/>
                <c:pt idx="0">
                  <c:v>_White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Spectrum!$L$2:$L$402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FC01-46CF-8648-E064E6310307}"/>
            </c:ext>
          </c:extLst>
        </c:ser>
        <c:ser>
          <c:idx val="11"/>
          <c:order val="11"/>
          <c:tx>
            <c:strRef>
              <c:f>Spectrum!$M$1</c:f>
              <c:strCache>
                <c:ptCount val="1"/>
                <c:pt idx="0">
                  <c:v>_Red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Spectrum!$M$2:$M$402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FC01-46CF-8648-E064E6310307}"/>
            </c:ext>
          </c:extLst>
        </c:ser>
        <c:ser>
          <c:idx val="12"/>
          <c:order val="12"/>
          <c:tx>
            <c:strRef>
              <c:f>Spectrum!$N$1</c:f>
              <c:strCache>
                <c:ptCount val="1"/>
                <c:pt idx="0">
                  <c:v>_Green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Spectrum!$N$2:$N$402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FC01-46CF-8648-E064E6310307}"/>
            </c:ext>
          </c:extLst>
        </c:ser>
        <c:ser>
          <c:idx val="13"/>
          <c:order val="13"/>
          <c:tx>
            <c:strRef>
              <c:f>Spectrum!$O$1</c:f>
              <c:strCache>
                <c:ptCount val="1"/>
                <c:pt idx="0">
                  <c:v>_Blue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Spectrum!$O$2:$O$402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FC01-46CF-8648-E064E6310307}"/>
            </c:ext>
          </c:extLst>
        </c:ser>
        <c:ser>
          <c:idx val="14"/>
          <c:order val="14"/>
          <c:tx>
            <c:strRef>
              <c:f>Spectrum!$P$1</c:f>
              <c:strCache>
                <c:ptCount val="1"/>
                <c:pt idx="0">
                  <c:v>_Black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Spectrum!$P$2:$P$402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FC01-46CF-8648-E064E6310307}"/>
            </c:ext>
          </c:extLst>
        </c:ser>
        <c:ser>
          <c:idx val="15"/>
          <c:order val="15"/>
          <c:tx>
            <c:strRef>
              <c:f>Spectrum!$Q$1</c:f>
              <c:strCache>
                <c:ptCount val="1"/>
                <c:pt idx="0">
                  <c:v>_White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Spectrum!$Q$2:$Q$402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FC01-46CF-8648-E064E6310307}"/>
            </c:ext>
          </c:extLst>
        </c:ser>
        <c:ser>
          <c:idx val="16"/>
          <c:order val="16"/>
          <c:tx>
            <c:strRef>
              <c:f>Spectrum!$R$1</c:f>
              <c:strCache>
                <c:ptCount val="1"/>
                <c:pt idx="0">
                  <c:v>_Red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Spectrum!$R$2:$R$402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FC01-46CF-8648-E064E6310307}"/>
            </c:ext>
          </c:extLst>
        </c:ser>
        <c:ser>
          <c:idx val="17"/>
          <c:order val="17"/>
          <c:tx>
            <c:strRef>
              <c:f>Spectrum!$S$1</c:f>
              <c:strCache>
                <c:ptCount val="1"/>
                <c:pt idx="0">
                  <c:v>_Green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Spectrum!$S$2:$S$402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FC01-46CF-8648-E064E6310307}"/>
            </c:ext>
          </c:extLst>
        </c:ser>
        <c:ser>
          <c:idx val="18"/>
          <c:order val="18"/>
          <c:tx>
            <c:strRef>
              <c:f>Spectrum!$T$1</c:f>
              <c:strCache>
                <c:ptCount val="1"/>
                <c:pt idx="0">
                  <c:v>_Blue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Spectrum!$T$2:$T$402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FC01-46CF-8648-E064E6310307}"/>
            </c:ext>
          </c:extLst>
        </c:ser>
        <c:ser>
          <c:idx val="19"/>
          <c:order val="19"/>
          <c:tx>
            <c:strRef>
              <c:f>Spectrum!$U$1</c:f>
              <c:strCache>
                <c:ptCount val="1"/>
                <c:pt idx="0">
                  <c:v>_Black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Spectrum!$U$2:$U$402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FC01-46CF-8648-E064E6310307}"/>
            </c:ext>
          </c:extLst>
        </c:ser>
        <c:ser>
          <c:idx val="20"/>
          <c:order val="20"/>
          <c:tx>
            <c:strRef>
              <c:f>Spectrum!$V$1</c:f>
              <c:strCache>
                <c:ptCount val="1"/>
                <c:pt idx="0">
                  <c:v>_White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Spectrum!$V$2:$V$402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FC01-46CF-8648-E064E6310307}"/>
            </c:ext>
          </c:extLst>
        </c:ser>
        <c:ser>
          <c:idx val="21"/>
          <c:order val="21"/>
          <c:tx>
            <c:strRef>
              <c:f>Spectrum!$W$1</c:f>
              <c:strCache>
                <c:ptCount val="1"/>
                <c:pt idx="0">
                  <c:v>_Red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Spectrum!$W$2:$W$402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FC01-46CF-8648-E064E6310307}"/>
            </c:ext>
          </c:extLst>
        </c:ser>
        <c:ser>
          <c:idx val="22"/>
          <c:order val="22"/>
          <c:tx>
            <c:strRef>
              <c:f>Spectrum!$X$1</c:f>
              <c:strCache>
                <c:ptCount val="1"/>
                <c:pt idx="0">
                  <c:v>_Green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Spectrum!$X$2:$X$402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6-FC01-46CF-8648-E064E6310307}"/>
            </c:ext>
          </c:extLst>
        </c:ser>
        <c:ser>
          <c:idx val="23"/>
          <c:order val="23"/>
          <c:tx>
            <c:strRef>
              <c:f>Spectrum!$Y$1</c:f>
              <c:strCache>
                <c:ptCount val="1"/>
                <c:pt idx="0">
                  <c:v>_Blue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Spectrum!$Y$2:$Y$402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FC01-46CF-8648-E064E6310307}"/>
            </c:ext>
          </c:extLst>
        </c:ser>
        <c:ser>
          <c:idx val="24"/>
          <c:order val="24"/>
          <c:tx>
            <c:strRef>
              <c:f>Spectrum!$Z$1</c:f>
              <c:strCache>
                <c:ptCount val="1"/>
                <c:pt idx="0">
                  <c:v>_Black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Spectrum!$Z$2:$Z$402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8-FC01-46CF-8648-E064E6310307}"/>
            </c:ext>
          </c:extLst>
        </c:ser>
        <c:ser>
          <c:idx val="25"/>
          <c:order val="25"/>
          <c:tx>
            <c:strRef>
              <c:f>Spectrum!$AA$1</c:f>
              <c:strCache>
                <c:ptCount val="1"/>
                <c:pt idx="0">
                  <c:v>_White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Spectrum!$AA$2:$AA$402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FC01-46CF-8648-E064E6310307}"/>
            </c:ext>
          </c:extLst>
        </c:ser>
        <c:ser>
          <c:idx val="26"/>
          <c:order val="26"/>
          <c:tx>
            <c:strRef>
              <c:f>Spectrum!$AB$1</c:f>
              <c:strCache>
                <c:ptCount val="1"/>
                <c:pt idx="0">
                  <c:v>_Red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Spectrum!$AB$2:$AB$402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A-FC01-46CF-8648-E064E6310307}"/>
            </c:ext>
          </c:extLst>
        </c:ser>
        <c:ser>
          <c:idx val="27"/>
          <c:order val="27"/>
          <c:tx>
            <c:strRef>
              <c:f>Spectrum!$AC$1</c:f>
              <c:strCache>
                <c:ptCount val="1"/>
                <c:pt idx="0">
                  <c:v>_Green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Spectrum!$AC$2:$AC$402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FC01-46CF-8648-E064E6310307}"/>
            </c:ext>
          </c:extLst>
        </c:ser>
        <c:ser>
          <c:idx val="28"/>
          <c:order val="28"/>
          <c:tx>
            <c:strRef>
              <c:f>Spectrum!$AD$1</c:f>
              <c:strCache>
                <c:ptCount val="1"/>
                <c:pt idx="0">
                  <c:v>_Blue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Spectrum!$AD$2:$AD$402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FC01-46CF-8648-E064E6310307}"/>
            </c:ext>
          </c:extLst>
        </c:ser>
        <c:ser>
          <c:idx val="29"/>
          <c:order val="29"/>
          <c:tx>
            <c:strRef>
              <c:f>Spectrum!$AE$1</c:f>
              <c:strCache>
                <c:ptCount val="1"/>
                <c:pt idx="0">
                  <c:v>_Black</c:v>
                </c:pt>
              </c:strCache>
            </c:strRef>
          </c:tx>
          <c:marker>
            <c:symbol val="none"/>
          </c:marker>
          <c:xVal>
            <c:numRef>
              <c:f>Spectrum!$A$2:$A$402</c:f>
              <c:numCache>
                <c:formatCode>General</c:formatCode>
                <c:ptCount val="40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</c:numCache>
            </c:numRef>
          </c:xVal>
          <c:yVal>
            <c:numRef>
              <c:f>Spectrum!$AE$2:$AE$402</c:f>
              <c:numCache>
                <c:formatCode>General</c:formatCode>
                <c:ptCount val="40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FC01-46CF-8648-E064E6310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54176"/>
        <c:axId val="133992832"/>
      </c:scatterChart>
      <c:valAx>
        <c:axId val="133954176"/>
        <c:scaling>
          <c:orientation val="minMax"/>
          <c:max val="780"/>
          <c:min val="38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zh-CN"/>
          </a:p>
        </c:txPr>
        <c:crossAx val="133992832"/>
        <c:crosses val="autoZero"/>
        <c:crossBetween val="midCat"/>
      </c:valAx>
      <c:valAx>
        <c:axId val="133992832"/>
        <c:scaling>
          <c:orientation val="minMax"/>
        </c:scaling>
        <c:delete val="0"/>
        <c:axPos val="l"/>
        <c:majorGridlines>
          <c:spPr>
            <a:ln w="3175"/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zh-CN"/>
          </a:p>
        </c:txPr>
        <c:crossAx val="13395417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876300</xdr:colOff>
          <xdr:row>0</xdr:row>
          <xdr:rowOff>123825</xdr:rowOff>
        </xdr:from>
        <xdr:to>
          <xdr:col>10</xdr:col>
          <xdr:colOff>209550</xdr:colOff>
          <xdr:row>1</xdr:row>
          <xdr:rowOff>95250</xdr:rowOff>
        </xdr:to>
        <xdr:sp macro="" textlink="">
          <xdr:nvSpPr>
            <xdr:cNvPr id="1040" name="Button_AllClear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13</xdr:col>
          <xdr:colOff>571500</xdr:colOff>
          <xdr:row>1</xdr:row>
          <xdr:rowOff>76200</xdr:rowOff>
        </xdr:to>
        <xdr:sp macro="" textlink="">
          <xdr:nvSpPr>
            <xdr:cNvPr id="1041" name="Button_No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142875</xdr:rowOff>
        </xdr:from>
        <xdr:to>
          <xdr:col>15</xdr:col>
          <xdr:colOff>47625</xdr:colOff>
          <xdr:row>1</xdr:row>
          <xdr:rowOff>76200</xdr:rowOff>
        </xdr:to>
        <xdr:sp macro="" textlink="">
          <xdr:nvSpPr>
            <xdr:cNvPr id="1042" name="Button_No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219075</xdr:colOff>
          <xdr:row>0</xdr:row>
          <xdr:rowOff>142875</xdr:rowOff>
        </xdr:from>
        <xdr:to>
          <xdr:col>16</xdr:col>
          <xdr:colOff>276225</xdr:colOff>
          <xdr:row>1</xdr:row>
          <xdr:rowOff>76200</xdr:rowOff>
        </xdr:to>
        <xdr:sp macro="" textlink="">
          <xdr:nvSpPr>
            <xdr:cNvPr id="1043" name="Button_No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133350</xdr:rowOff>
        </xdr:from>
        <xdr:to>
          <xdr:col>17</xdr:col>
          <xdr:colOff>438150</xdr:colOff>
          <xdr:row>1</xdr:row>
          <xdr:rowOff>66675</xdr:rowOff>
        </xdr:to>
        <xdr:sp macro="" textlink="">
          <xdr:nvSpPr>
            <xdr:cNvPr id="1044" name="Button_No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590550</xdr:colOff>
          <xdr:row>0</xdr:row>
          <xdr:rowOff>123825</xdr:rowOff>
        </xdr:from>
        <xdr:to>
          <xdr:col>18</xdr:col>
          <xdr:colOff>609600</xdr:colOff>
          <xdr:row>1</xdr:row>
          <xdr:rowOff>57150</xdr:rowOff>
        </xdr:to>
        <xdr:sp macro="" textlink="">
          <xdr:nvSpPr>
            <xdr:cNvPr id="1045" name="Button_no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0</xdr:row>
          <xdr:rowOff>123825</xdr:rowOff>
        </xdr:from>
        <xdr:to>
          <xdr:col>20</xdr:col>
          <xdr:colOff>47625</xdr:colOff>
          <xdr:row>1</xdr:row>
          <xdr:rowOff>57150</xdr:rowOff>
        </xdr:to>
        <xdr:sp macro="" textlink="">
          <xdr:nvSpPr>
            <xdr:cNvPr id="1046" name="Button_No6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171450</xdr:rowOff>
        </xdr:from>
        <xdr:to>
          <xdr:col>20</xdr:col>
          <xdr:colOff>285750</xdr:colOff>
          <xdr:row>2</xdr:row>
          <xdr:rowOff>76200</xdr:rowOff>
        </xdr:to>
        <xdr:sp macro="" textlink="">
          <xdr:nvSpPr>
            <xdr:cNvPr id="1047" name="Button_Report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412069</xdr:colOff>
      <xdr:row>4</xdr:row>
      <xdr:rowOff>78467</xdr:rowOff>
    </xdr:from>
    <xdr:to>
      <xdr:col>21</xdr:col>
      <xdr:colOff>323169</xdr:colOff>
      <xdr:row>36</xdr:row>
      <xdr:rowOff>68942</xdr:rowOff>
    </xdr:to>
    <xdr:graphicFrame macro="">
      <xdr:nvGraphicFramePr>
        <xdr:cNvPr id="2" name="Graph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425451</xdr:colOff>
      <xdr:row>37</xdr:row>
      <xdr:rowOff>107159</xdr:rowOff>
    </xdr:from>
    <xdr:to>
      <xdr:col>20</xdr:col>
      <xdr:colOff>463551</xdr:colOff>
      <xdr:row>66</xdr:row>
      <xdr:rowOff>83345</xdr:rowOff>
    </xdr:to>
    <xdr:graphicFrame macro="">
      <xdr:nvGraphicFramePr>
        <xdr:cNvPr id="3" name="Graph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557439</xdr:colOff>
      <xdr:row>37</xdr:row>
      <xdr:rowOff>114412</xdr:rowOff>
    </xdr:from>
    <xdr:to>
      <xdr:col>36</xdr:col>
      <xdr:colOff>595539</xdr:colOff>
      <xdr:row>66</xdr:row>
      <xdr:rowOff>83344</xdr:rowOff>
    </xdr:to>
    <xdr:graphicFrame macro="">
      <xdr:nvGraphicFramePr>
        <xdr:cNvPr id="4" name="Graph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507432</xdr:colOff>
      <xdr:row>37</xdr:row>
      <xdr:rowOff>115887</xdr:rowOff>
    </xdr:from>
    <xdr:to>
      <xdr:col>28</xdr:col>
      <xdr:colOff>520132</xdr:colOff>
      <xdr:row>66</xdr:row>
      <xdr:rowOff>83344</xdr:rowOff>
    </xdr:to>
    <xdr:graphicFrame macro="">
      <xdr:nvGraphicFramePr>
        <xdr:cNvPr id="5" name="Graph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571499</xdr:colOff>
      <xdr:row>4</xdr:row>
      <xdr:rowOff>81641</xdr:rowOff>
    </xdr:from>
    <xdr:to>
      <xdr:col>36</xdr:col>
      <xdr:colOff>612320</xdr:colOff>
      <xdr:row>36</xdr:row>
      <xdr:rowOff>81642</xdr:rowOff>
    </xdr:to>
    <xdr:graphicFrame macro="">
      <xdr:nvGraphicFramePr>
        <xdr:cNvPr id="7" name="Graph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68"/>
  <sheetViews>
    <sheetView showGridLines="0" tabSelected="1" zoomScale="55" zoomScaleNormal="55" workbookViewId="0">
      <selection activeCell="B2" sqref="B2"/>
    </sheetView>
  </sheetViews>
  <sheetFormatPr defaultColWidth="8.88671875" defaultRowHeight="15"/>
  <cols>
    <col min="1" max="1" width="2.21875" style="2" customWidth="1"/>
    <col min="2" max="2" width="10.109375" style="2" customWidth="1"/>
    <col min="3" max="3" width="14.33203125" style="1" customWidth="1"/>
    <col min="4" max="6" width="14.88671875" style="1" customWidth="1"/>
    <col min="7" max="10" width="22.21875" style="2" customWidth="1"/>
    <col min="11" max="11" width="3.44140625" style="2" customWidth="1"/>
    <col min="12" max="12" width="6" style="2" customWidth="1"/>
    <col min="13" max="13" width="6.5546875" style="2" customWidth="1"/>
    <col min="14" max="14" width="8.109375" style="2" customWidth="1"/>
    <col min="15" max="15" width="8.33203125" style="2" customWidth="1"/>
    <col min="16" max="16" width="8.21875" style="2" customWidth="1"/>
    <col min="17" max="17" width="8.88671875" style="2"/>
    <col min="18" max="18" width="8.6640625" style="2" customWidth="1"/>
    <col min="19" max="40" width="8.88671875" style="2"/>
    <col min="41" max="41" width="8.88671875" style="2" customWidth="1"/>
    <col min="42" max="43" width="8.88671875" style="2"/>
    <col min="44" max="44" width="9.33203125" style="2" bestFit="1" customWidth="1"/>
    <col min="45" max="46" width="9" style="2" bestFit="1" customWidth="1"/>
    <col min="47" max="47" width="9" style="2" customWidth="1"/>
    <col min="48" max="16384" width="8.88671875" style="2"/>
  </cols>
  <sheetData>
    <row r="1" spans="1:58" ht="35.25" customHeight="1">
      <c r="A1" s="23"/>
      <c r="B1" s="3" t="s">
        <v>42</v>
      </c>
      <c r="C1" s="23"/>
      <c r="D1" s="24"/>
      <c r="E1" s="24"/>
      <c r="F1" s="24"/>
      <c r="G1" s="23"/>
      <c r="H1" s="23"/>
      <c r="I1" s="23"/>
      <c r="J1" s="23"/>
      <c r="K1" s="23"/>
      <c r="V1" s="2">
        <v>22</v>
      </c>
      <c r="W1" s="2">
        <v>23</v>
      </c>
      <c r="X1" s="2">
        <v>24</v>
      </c>
      <c r="Y1" s="2">
        <v>25</v>
      </c>
      <c r="Z1" s="2">
        <v>26</v>
      </c>
      <c r="AA1" s="2">
        <v>27</v>
      </c>
      <c r="AB1" s="2">
        <v>28</v>
      </c>
      <c r="AC1" s="2">
        <v>29</v>
      </c>
      <c r="AD1" s="2">
        <v>30</v>
      </c>
      <c r="AE1" s="2">
        <v>31</v>
      </c>
      <c r="AF1" s="2">
        <v>32</v>
      </c>
      <c r="AG1" s="2">
        <v>33</v>
      </c>
      <c r="AH1" s="2">
        <v>34</v>
      </c>
      <c r="AI1" s="2">
        <v>35</v>
      </c>
      <c r="AJ1" s="2">
        <v>36</v>
      </c>
    </row>
    <row r="2" spans="1:58" ht="33.75" customHeight="1">
      <c r="A2" s="23"/>
      <c r="B2" s="24"/>
      <c r="C2" s="24"/>
      <c r="D2" s="24"/>
      <c r="E2" s="24"/>
      <c r="F2" s="24"/>
      <c r="G2" s="23"/>
      <c r="H2" s="23"/>
      <c r="I2" s="23"/>
      <c r="J2" s="23"/>
      <c r="K2" s="23"/>
    </row>
    <row r="3" spans="1:58" ht="19.5">
      <c r="A3" s="23"/>
      <c r="B3" s="78" t="s">
        <v>41</v>
      </c>
      <c r="C3" s="80" t="str">
        <f>"(n="&amp;COUNTA(B13:B65)&amp;")"</f>
        <v>(n=0)</v>
      </c>
      <c r="D3" s="68"/>
      <c r="E3" s="68"/>
      <c r="F3" s="68"/>
      <c r="G3" s="70" t="s">
        <v>51</v>
      </c>
      <c r="H3" s="70" t="s">
        <v>52</v>
      </c>
      <c r="I3" s="71" t="s">
        <v>53</v>
      </c>
      <c r="J3" s="70" t="s">
        <v>55</v>
      </c>
      <c r="K3" s="23"/>
      <c r="L3" s="23"/>
      <c r="M3" s="23"/>
      <c r="N3" s="23"/>
      <c r="O3" s="23"/>
      <c r="P3" s="23"/>
      <c r="Q3" s="23"/>
      <c r="R3" s="23"/>
      <c r="S3" s="23"/>
      <c r="AB3" s="23" t="s">
        <v>29</v>
      </c>
      <c r="AC3" s="23"/>
      <c r="AD3" s="23"/>
      <c r="AE3" s="23"/>
      <c r="AF3" s="23"/>
      <c r="AM3" s="69"/>
      <c r="AW3" s="40"/>
      <c r="AX3" s="40"/>
      <c r="AY3" s="40"/>
      <c r="AZ3" s="40"/>
      <c r="BA3" s="40"/>
      <c r="BB3" s="40"/>
      <c r="BC3" s="40"/>
      <c r="BD3" s="23"/>
      <c r="BE3" s="23"/>
      <c r="BF3" s="23"/>
    </row>
    <row r="4" spans="1:58" ht="39">
      <c r="A4" s="23"/>
      <c r="B4" s="70"/>
      <c r="C4" s="80" t="s">
        <v>58</v>
      </c>
      <c r="D4" s="80">
        <v>620</v>
      </c>
      <c r="E4" s="81">
        <v>0.28000000000000003</v>
      </c>
      <c r="F4" s="81">
        <v>0.28499999999999998</v>
      </c>
      <c r="G4" s="82"/>
      <c r="H4" s="79" t="s">
        <v>59</v>
      </c>
      <c r="I4" s="79" t="s">
        <v>56</v>
      </c>
      <c r="J4" s="79" t="s">
        <v>57</v>
      </c>
      <c r="K4" s="23"/>
      <c r="L4" s="45" t="s">
        <v>24</v>
      </c>
      <c r="M4" s="45"/>
      <c r="N4" s="45"/>
      <c r="O4" s="54"/>
      <c r="P4" s="45" t="s">
        <v>25</v>
      </c>
      <c r="Q4" s="46"/>
      <c r="R4" s="47" t="s">
        <v>26</v>
      </c>
      <c r="S4" s="45"/>
      <c r="T4" s="45"/>
      <c r="U4" s="54"/>
      <c r="V4" s="117" t="s">
        <v>27</v>
      </c>
      <c r="W4" s="118"/>
      <c r="X4" s="118"/>
      <c r="Y4" s="118"/>
      <c r="Z4" s="119"/>
      <c r="AB4" s="23"/>
      <c r="AC4" s="23"/>
      <c r="AD4" s="23"/>
      <c r="AE4" s="23"/>
      <c r="AF4" s="23"/>
      <c r="AG4" s="8"/>
      <c r="AH4" s="8"/>
      <c r="AI4" s="8"/>
      <c r="AJ4" s="8"/>
      <c r="AK4" s="8"/>
      <c r="AL4" s="8"/>
      <c r="AM4" s="69"/>
      <c r="AN4" s="60"/>
      <c r="AO4" s="60" t="s">
        <v>35</v>
      </c>
      <c r="AP4" s="60" t="s">
        <v>0</v>
      </c>
      <c r="AQ4" s="60" t="s">
        <v>1</v>
      </c>
      <c r="AR4" s="9" t="s">
        <v>38</v>
      </c>
      <c r="AS4" s="9" t="s">
        <v>39</v>
      </c>
      <c r="AT4" s="9" t="s">
        <v>40</v>
      </c>
      <c r="AU4" s="75" t="s">
        <v>43</v>
      </c>
      <c r="AW4" s="23"/>
      <c r="AX4" s="23"/>
      <c r="AY4" s="23"/>
      <c r="AZ4" s="23"/>
      <c r="BA4" s="51" t="s">
        <v>18</v>
      </c>
      <c r="BB4" s="51"/>
      <c r="BC4" s="51"/>
      <c r="BD4" s="51"/>
      <c r="BE4" s="51"/>
      <c r="BF4" s="23"/>
    </row>
    <row r="5" spans="1:58" ht="49.5" customHeight="1">
      <c r="A5" s="23"/>
      <c r="B5" s="69"/>
      <c r="C5" s="83"/>
      <c r="D5" s="84" t="s">
        <v>44</v>
      </c>
      <c r="E5" s="85" t="s">
        <v>0</v>
      </c>
      <c r="F5" s="85" t="s">
        <v>1</v>
      </c>
      <c r="G5" s="86" t="s">
        <v>45</v>
      </c>
      <c r="H5" s="86" t="s">
        <v>50</v>
      </c>
      <c r="I5" s="87" t="s">
        <v>46</v>
      </c>
      <c r="J5" s="88" t="s">
        <v>54</v>
      </c>
      <c r="K5" s="23"/>
      <c r="L5" s="48" t="s">
        <v>28</v>
      </c>
      <c r="M5" s="48" t="s">
        <v>20</v>
      </c>
      <c r="N5" s="48" t="s">
        <v>23</v>
      </c>
      <c r="O5" s="54"/>
      <c r="P5" s="48" t="s">
        <v>19</v>
      </c>
      <c r="Q5" s="48" t="s">
        <v>20</v>
      </c>
      <c r="R5" s="48" t="s">
        <v>21</v>
      </c>
      <c r="S5" s="48" t="s">
        <v>22</v>
      </c>
      <c r="T5" s="48" t="s">
        <v>23</v>
      </c>
      <c r="U5" s="54"/>
      <c r="V5" s="55" t="s">
        <v>0</v>
      </c>
      <c r="W5" s="55" t="s">
        <v>1</v>
      </c>
      <c r="X5" s="55" t="s">
        <v>7</v>
      </c>
      <c r="Y5" s="55" t="s">
        <v>8</v>
      </c>
      <c r="Z5" s="55" t="s">
        <v>9</v>
      </c>
      <c r="AB5" s="23"/>
      <c r="AC5" s="23"/>
      <c r="AD5" s="23"/>
      <c r="AE5" s="23"/>
      <c r="AF5" s="23"/>
      <c r="AG5" s="40"/>
      <c r="AM5" s="69"/>
      <c r="AN5" s="60" t="s">
        <v>2</v>
      </c>
      <c r="AO5" s="61"/>
      <c r="AP5" s="62"/>
      <c r="AQ5" s="62"/>
      <c r="AR5" s="122" t="e">
        <f>((AP6-AP8)/2)*(AQ7-(((AQ6-AQ8)/(AP6-AP8))*(AP7-AP8)+AQ8))/$N$8</f>
        <v>#DIV/0!</v>
      </c>
      <c r="AS5" s="122">
        <f>BE7/$T$8</f>
        <v>0</v>
      </c>
      <c r="AT5" s="116">
        <f>BT8</f>
        <v>0</v>
      </c>
      <c r="AU5" s="110">
        <f>BC6</f>
        <v>0</v>
      </c>
      <c r="AW5" s="52"/>
      <c r="AX5" s="52"/>
      <c r="AY5" s="52"/>
      <c r="AZ5" s="23"/>
      <c r="BA5" s="53" t="s">
        <v>19</v>
      </c>
      <c r="BB5" s="53" t="s">
        <v>20</v>
      </c>
      <c r="BC5" s="53" t="s">
        <v>21</v>
      </c>
      <c r="BD5" s="53" t="s">
        <v>22</v>
      </c>
      <c r="BE5" s="53" t="s">
        <v>23</v>
      </c>
      <c r="BF5" s="23"/>
    </row>
    <row r="6" spans="1:58" ht="19.5">
      <c r="A6" s="23"/>
      <c r="B6" s="69"/>
      <c r="C6" s="83" t="s">
        <v>2</v>
      </c>
      <c r="D6" s="89" t="e">
        <f t="shared" ref="D6:E10" si="0">AVERAGE(D15,D24,D33,D42,D51,D60)</f>
        <v>#DIV/0!</v>
      </c>
      <c r="E6" s="90" t="e">
        <f t="shared" si="0"/>
        <v>#DIV/0!</v>
      </c>
      <c r="F6" s="90" t="e">
        <f t="shared" ref="F6" si="1">AVERAGE(F15,F24,F33,F42,F51,F60)</f>
        <v>#DIV/0!</v>
      </c>
      <c r="G6" s="123" t="e">
        <f>((E7-E9)/2)*(F8-(((F7-F9)/(E7-E9))*(E8-E9)+F9))/$N$8</f>
        <v>#DIV/0!</v>
      </c>
      <c r="H6" s="121">
        <f>AVERAGE(H15,H24,H33,H42,H51,H60)</f>
        <v>0</v>
      </c>
      <c r="I6" s="120">
        <f>AVERAGE(I15,I4,I33,I42,I51,I60)</f>
        <v>0</v>
      </c>
      <c r="J6" s="126">
        <f>AVERAGE(J15,J4,J33,J42,J51,J60)</f>
        <v>0</v>
      </c>
      <c r="K6" s="23"/>
      <c r="L6" s="48"/>
      <c r="M6" s="48"/>
      <c r="N6" s="48"/>
      <c r="O6" s="54"/>
      <c r="P6" s="48"/>
      <c r="Q6" s="48"/>
      <c r="R6" s="48"/>
      <c r="S6" s="48"/>
      <c r="T6" s="48"/>
      <c r="U6" s="54"/>
      <c r="V6" s="55"/>
      <c r="W6" s="55"/>
      <c r="X6" s="55"/>
      <c r="Y6" s="55"/>
      <c r="Z6" s="55"/>
      <c r="AB6" s="57"/>
      <c r="AC6" s="57" t="s">
        <v>30</v>
      </c>
      <c r="AD6" s="57" t="s">
        <v>31</v>
      </c>
      <c r="AE6" s="23" t="s">
        <v>32</v>
      </c>
      <c r="AF6" s="23" t="s">
        <v>33</v>
      </c>
      <c r="AG6" s="40"/>
      <c r="AM6" s="69"/>
      <c r="AN6" s="63" t="s">
        <v>3</v>
      </c>
      <c r="AO6" s="61"/>
      <c r="AP6" s="62"/>
      <c r="AQ6" s="62"/>
      <c r="AR6" s="122"/>
      <c r="AS6" s="122"/>
      <c r="AT6" s="116"/>
      <c r="AU6" s="111"/>
      <c r="AW6" s="52">
        <f>AP6</f>
        <v>0</v>
      </c>
      <c r="AX6" s="52">
        <f>AQ6</f>
        <v>0</v>
      </c>
      <c r="AY6" s="52"/>
      <c r="AZ6" s="23"/>
      <c r="BA6" s="52"/>
      <c r="BB6" s="52"/>
      <c r="BC6" s="52">
        <f>(AW6*4)/(-2*AW6+12*AX6+3)</f>
        <v>0</v>
      </c>
      <c r="BD6" s="52">
        <f>(AX6*9)/(-2*AW6+12*AX6+3)</f>
        <v>0</v>
      </c>
      <c r="BE6" s="52"/>
      <c r="BF6" s="23"/>
    </row>
    <row r="7" spans="1:58" ht="19.5">
      <c r="A7" s="23"/>
      <c r="B7" s="69"/>
      <c r="C7" s="91" t="s">
        <v>3</v>
      </c>
      <c r="D7" s="89" t="e">
        <f t="shared" si="0"/>
        <v>#DIV/0!</v>
      </c>
      <c r="E7" s="90" t="e">
        <f t="shared" si="0"/>
        <v>#DIV/0!</v>
      </c>
      <c r="F7" s="90" t="e">
        <f t="shared" ref="F7:F10" si="2">AVERAGE(F16,F25,F34,F43,F52,F61)</f>
        <v>#DIV/0!</v>
      </c>
      <c r="G7" s="124"/>
      <c r="H7" s="121"/>
      <c r="I7" s="120"/>
      <c r="J7" s="127"/>
      <c r="K7" s="23"/>
      <c r="L7" s="49">
        <v>0.67</v>
      </c>
      <c r="M7" s="49">
        <v>0.33</v>
      </c>
      <c r="N7" s="49"/>
      <c r="O7" s="54"/>
      <c r="P7" s="49">
        <v>0.64</v>
      </c>
      <c r="Q7" s="49">
        <v>0.33</v>
      </c>
      <c r="R7" s="49">
        <f>(P7*4)/(-2*P7+12*Q7+3)</f>
        <v>0.45070422535211269</v>
      </c>
      <c r="S7" s="49">
        <f>(Q7*9)/(-2*P7+12*Q7+3)</f>
        <v>0.522887323943662</v>
      </c>
      <c r="T7" s="49"/>
      <c r="U7" s="54"/>
      <c r="V7" s="56">
        <v>0.68</v>
      </c>
      <c r="W7" s="56">
        <v>0.32</v>
      </c>
      <c r="X7" s="56">
        <v>0.49635036496350371</v>
      </c>
      <c r="Y7" s="56">
        <v>0.52554744525547448</v>
      </c>
      <c r="Z7" s="55"/>
      <c r="AB7" s="26" t="s">
        <v>3</v>
      </c>
      <c r="AC7" s="25" t="e">
        <f>E7</f>
        <v>#DIV/0!</v>
      </c>
      <c r="AD7" s="25" t="e">
        <f>F7</f>
        <v>#DIV/0!</v>
      </c>
      <c r="AE7" s="58" t="e">
        <f>(AC7*4)/(-2*AC7+12*AD7+3)</f>
        <v>#DIV/0!</v>
      </c>
      <c r="AF7" s="58" t="e">
        <f>(AD7*9)/(-2*AC7+12*AD7+3)</f>
        <v>#DIV/0!</v>
      </c>
      <c r="AG7" s="40"/>
      <c r="AM7" s="69"/>
      <c r="AN7" s="64" t="s">
        <v>4</v>
      </c>
      <c r="AO7" s="61"/>
      <c r="AP7" s="62"/>
      <c r="AQ7" s="62"/>
      <c r="AR7" s="122"/>
      <c r="AS7" s="122"/>
      <c r="AT7" s="116"/>
      <c r="AU7" s="111"/>
      <c r="AW7" s="52">
        <f>AP7</f>
        <v>0</v>
      </c>
      <c r="AX7" s="52">
        <f t="shared" ref="AX7:AX8" si="3">AQ7</f>
        <v>0</v>
      </c>
      <c r="AY7" s="52">
        <f>ABS((AW6-AW8)*(AX7-AX8)-(AX6-AX8)*(AW7-AW8))/2</f>
        <v>0</v>
      </c>
      <c r="AZ7" s="23"/>
      <c r="BA7" s="52"/>
      <c r="BB7" s="52"/>
      <c r="BC7" s="52">
        <f>(AW7*4)/(-2*AW7+12*AX7+3)</f>
        <v>0</v>
      </c>
      <c r="BD7" s="52">
        <f>(AX7*9)/(-2*AW7+12*AX7+3)</f>
        <v>0</v>
      </c>
      <c r="BE7" s="52">
        <f>ABS((BC6-BC8)*(BD7-BD8)-(BD6-BD8)*(BC7-BC8))/2</f>
        <v>0</v>
      </c>
      <c r="BF7" s="23"/>
    </row>
    <row r="8" spans="1:58" ht="19.5">
      <c r="A8" s="23"/>
      <c r="B8" s="69"/>
      <c r="C8" s="92" t="s">
        <v>4</v>
      </c>
      <c r="D8" s="89" t="e">
        <f t="shared" si="0"/>
        <v>#DIV/0!</v>
      </c>
      <c r="E8" s="90" t="e">
        <f t="shared" si="0"/>
        <v>#DIV/0!</v>
      </c>
      <c r="F8" s="90" t="e">
        <f t="shared" si="2"/>
        <v>#DIV/0!</v>
      </c>
      <c r="G8" s="124"/>
      <c r="H8" s="121"/>
      <c r="I8" s="120"/>
      <c r="J8" s="127"/>
      <c r="K8" s="23"/>
      <c r="L8" s="49">
        <v>0.21</v>
      </c>
      <c r="M8" s="49">
        <v>0.71</v>
      </c>
      <c r="N8" s="50">
        <f>ABS((L7-L9)*(M8-M9)-(M7-M9)*(L8-L9))/2</f>
        <v>0.15820000000000001</v>
      </c>
      <c r="O8" s="54"/>
      <c r="P8" s="49">
        <v>0.3</v>
      </c>
      <c r="Q8" s="49">
        <v>0.6</v>
      </c>
      <c r="R8" s="49">
        <f>(P8*4)/(-2*P8+12*Q8+3)</f>
        <v>0.125</v>
      </c>
      <c r="S8" s="49">
        <f>(Q8*9)/(-2*P8+12*Q8+3)</f>
        <v>0.5625</v>
      </c>
      <c r="T8" s="50">
        <f>ABS((R7-R9)*(S8-S9)-(S7-S9)*(R8-R9))/2</f>
        <v>6.4891818013343205E-2</v>
      </c>
      <c r="U8" s="54"/>
      <c r="V8" s="56">
        <v>0.26500000000000001</v>
      </c>
      <c r="W8" s="56">
        <v>0.69</v>
      </c>
      <c r="X8" s="56">
        <v>9.8604651162790699E-2</v>
      </c>
      <c r="Y8" s="56">
        <v>0.57767441860465107</v>
      </c>
      <c r="Z8" s="55">
        <v>6.4891818013343205E-2</v>
      </c>
      <c r="AB8" s="27" t="s">
        <v>4</v>
      </c>
      <c r="AC8" s="25" t="e">
        <f t="shared" ref="AC8:AD9" si="4">E8</f>
        <v>#DIV/0!</v>
      </c>
      <c r="AD8" s="25" t="e">
        <f t="shared" si="4"/>
        <v>#DIV/0!</v>
      </c>
      <c r="AE8" s="58" t="e">
        <f>(AC8*4)/(-2*AC8+12*AD8+3)</f>
        <v>#DIV/0!</v>
      </c>
      <c r="AF8" s="58" t="e">
        <f>(AD8*9)/(-2*AC8+12*AD8+3)</f>
        <v>#DIV/0!</v>
      </c>
      <c r="AG8" s="40"/>
      <c r="AM8" s="69"/>
      <c r="AN8" s="65" t="s">
        <v>5</v>
      </c>
      <c r="AO8" s="61"/>
      <c r="AP8" s="62"/>
      <c r="AQ8" s="62"/>
      <c r="AR8" s="122"/>
      <c r="AS8" s="122"/>
      <c r="AT8" s="116"/>
      <c r="AU8" s="111"/>
      <c r="AW8" s="52">
        <f>AP8</f>
        <v>0</v>
      </c>
      <c r="AX8" s="52">
        <f t="shared" si="3"/>
        <v>0</v>
      </c>
      <c r="AY8" s="52"/>
      <c r="AZ8" s="23"/>
      <c r="BA8" s="52"/>
      <c r="BB8" s="52"/>
      <c r="BC8" s="52">
        <f>(AW8*4)/(-2*AW8+12*AX8+3)</f>
        <v>0</v>
      </c>
      <c r="BD8" s="52">
        <f>(AX8*9)/(-2*AW8+12*AX8+3)</f>
        <v>0</v>
      </c>
      <c r="BE8" s="52"/>
      <c r="BF8" s="23"/>
    </row>
    <row r="9" spans="1:58" ht="19.5">
      <c r="A9" s="23"/>
      <c r="B9" s="69"/>
      <c r="C9" s="93" t="s">
        <v>5</v>
      </c>
      <c r="D9" s="89" t="e">
        <f t="shared" si="0"/>
        <v>#DIV/0!</v>
      </c>
      <c r="E9" s="90" t="e">
        <f t="shared" si="0"/>
        <v>#DIV/0!</v>
      </c>
      <c r="F9" s="90" t="e">
        <f t="shared" si="2"/>
        <v>#DIV/0!</v>
      </c>
      <c r="G9" s="124"/>
      <c r="H9" s="121"/>
      <c r="I9" s="120"/>
      <c r="J9" s="127"/>
      <c r="K9" s="23"/>
      <c r="L9" s="49">
        <v>0.14000000000000001</v>
      </c>
      <c r="M9" s="49">
        <v>0.08</v>
      </c>
      <c r="N9" s="49"/>
      <c r="O9" s="54"/>
      <c r="P9" s="49">
        <v>0.15</v>
      </c>
      <c r="Q9" s="49">
        <v>0.06</v>
      </c>
      <c r="R9" s="49">
        <f>(P9*4)/(-2*P9+12*Q9+3)</f>
        <v>0.17543859649122806</v>
      </c>
      <c r="S9" s="49">
        <f>(Q9*9)/(-2*P9+12*Q9+3)</f>
        <v>0.15789473684210528</v>
      </c>
      <c r="T9" s="49"/>
      <c r="U9" s="54"/>
      <c r="V9" s="56">
        <v>0.15</v>
      </c>
      <c r="W9" s="56">
        <v>0.06</v>
      </c>
      <c r="X9" s="56">
        <v>0.17543859649122806</v>
      </c>
      <c r="Y9" s="56">
        <v>0.15789473684210528</v>
      </c>
      <c r="Z9" s="55"/>
      <c r="AB9" s="28" t="s">
        <v>5</v>
      </c>
      <c r="AC9" s="25" t="e">
        <f t="shared" si="4"/>
        <v>#DIV/0!</v>
      </c>
      <c r="AD9" s="25" t="e">
        <f t="shared" si="4"/>
        <v>#DIV/0!</v>
      </c>
      <c r="AE9" s="58" t="e">
        <f>(AC9*4)/(-2*AC9+12*AD9+3)</f>
        <v>#DIV/0!</v>
      </c>
      <c r="AF9" s="58" t="e">
        <f>(AD9*9)/(-2*AC9+12*AD9+3)</f>
        <v>#DIV/0!</v>
      </c>
      <c r="AG9" s="40"/>
      <c r="AM9" s="69"/>
      <c r="AN9" s="66" t="s">
        <v>6</v>
      </c>
      <c r="AO9" s="67"/>
      <c r="AP9" s="62"/>
      <c r="AQ9" s="62"/>
      <c r="AR9" s="122"/>
      <c r="AS9" s="122"/>
      <c r="AT9" s="116"/>
      <c r="AU9" s="111"/>
      <c r="AW9" s="52"/>
      <c r="AX9" s="52"/>
      <c r="AY9" s="52"/>
      <c r="AZ9" s="23"/>
      <c r="BA9" s="52"/>
      <c r="BB9" s="52"/>
      <c r="BC9" s="52"/>
      <c r="BD9" s="52"/>
      <c r="BE9" s="52"/>
      <c r="BF9" s="23"/>
    </row>
    <row r="10" spans="1:58" ht="19.5">
      <c r="A10" s="23"/>
      <c r="B10" s="69"/>
      <c r="C10" s="94" t="s">
        <v>6</v>
      </c>
      <c r="D10" s="95" t="e">
        <f t="shared" si="0"/>
        <v>#DIV/0!</v>
      </c>
      <c r="E10" s="90" t="e">
        <f t="shared" si="0"/>
        <v>#DIV/0!</v>
      </c>
      <c r="F10" s="90" t="e">
        <f t="shared" si="2"/>
        <v>#DIV/0!</v>
      </c>
      <c r="G10" s="124"/>
      <c r="H10" s="121"/>
      <c r="I10" s="120"/>
      <c r="J10" s="127"/>
      <c r="K10" s="23"/>
      <c r="L10" s="49">
        <v>0.67</v>
      </c>
      <c r="M10" s="49">
        <v>0.33</v>
      </c>
      <c r="N10" s="49"/>
      <c r="O10" s="54"/>
      <c r="P10" s="49">
        <f>P7</f>
        <v>0.64</v>
      </c>
      <c r="Q10" s="49">
        <f>Q7</f>
        <v>0.33</v>
      </c>
      <c r="R10" s="49">
        <f>R7</f>
        <v>0.45070422535211269</v>
      </c>
      <c r="S10" s="49">
        <f>S7</f>
        <v>0.522887323943662</v>
      </c>
      <c r="T10" s="49"/>
      <c r="U10" s="54"/>
      <c r="V10" s="56"/>
      <c r="W10" s="56"/>
      <c r="X10" s="56">
        <f>X7</f>
        <v>0.49635036496350371</v>
      </c>
      <c r="Y10" s="56">
        <f>Y7</f>
        <v>0.52554744525547448</v>
      </c>
      <c r="Z10" s="55"/>
      <c r="AA10" s="22"/>
      <c r="AB10" s="26" t="s">
        <v>3</v>
      </c>
      <c r="AC10" s="25" t="e">
        <f>AC7</f>
        <v>#DIV/0!</v>
      </c>
      <c r="AD10" s="25" t="e">
        <f>AD7</f>
        <v>#DIV/0!</v>
      </c>
      <c r="AE10" s="58" t="e">
        <f>AE7</f>
        <v>#DIV/0!</v>
      </c>
      <c r="AF10" s="58" t="e">
        <f>AF7</f>
        <v>#DIV/0!</v>
      </c>
      <c r="AG10" s="40"/>
      <c r="AM10" s="69"/>
      <c r="AN10" s="60" t="s">
        <v>34</v>
      </c>
      <c r="AO10" s="113" t="e">
        <f>AO5/AO9</f>
        <v>#DIV/0!</v>
      </c>
      <c r="AP10" s="114"/>
      <c r="AQ10" s="115"/>
      <c r="AR10" s="122"/>
      <c r="AS10" s="122"/>
      <c r="AT10" s="116"/>
      <c r="AU10" s="112"/>
      <c r="AW10" s="40"/>
      <c r="AX10" s="40"/>
      <c r="AY10" s="40"/>
      <c r="AZ10" s="40"/>
      <c r="BA10" s="40"/>
      <c r="BB10" s="40"/>
      <c r="BC10" s="40"/>
      <c r="BD10" s="23"/>
      <c r="BE10" s="23"/>
      <c r="BF10" s="23"/>
    </row>
    <row r="11" spans="1:58" ht="19.5">
      <c r="A11" s="23"/>
      <c r="B11" s="69"/>
      <c r="C11" s="83" t="s">
        <v>34</v>
      </c>
      <c r="D11" s="129" t="e">
        <f>D6/D10</f>
        <v>#DIV/0!</v>
      </c>
      <c r="E11" s="130"/>
      <c r="F11" s="131"/>
      <c r="G11" s="125"/>
      <c r="H11" s="121"/>
      <c r="I11" s="120"/>
      <c r="J11" s="128"/>
      <c r="K11" s="23"/>
      <c r="AB11" s="23"/>
      <c r="AC11" s="23"/>
      <c r="AD11" s="23"/>
      <c r="AE11" s="23"/>
      <c r="AF11" s="23"/>
      <c r="AG11" s="40"/>
      <c r="AW11" s="8"/>
      <c r="AX11" s="8"/>
      <c r="AY11" s="8"/>
      <c r="AZ11" s="8"/>
      <c r="BA11" s="8"/>
      <c r="BB11" s="8"/>
      <c r="BC11" s="8"/>
    </row>
    <row r="12" spans="1:58" ht="18" customHeight="1">
      <c r="A12" s="23"/>
      <c r="B12" s="23"/>
      <c r="C12" s="24"/>
      <c r="D12" s="24"/>
      <c r="E12" s="24"/>
      <c r="F12" s="24"/>
      <c r="G12" s="23"/>
      <c r="H12" s="23"/>
      <c r="I12" s="59"/>
      <c r="J12" s="59"/>
      <c r="K12" s="23"/>
    </row>
    <row r="13" spans="1:58" ht="18" customHeight="1">
      <c r="A13" s="23"/>
      <c r="B13" s="72"/>
      <c r="C13" s="24"/>
      <c r="D13" s="24"/>
      <c r="E13" s="24"/>
      <c r="F13" s="24"/>
      <c r="G13" s="23"/>
      <c r="H13" s="23"/>
      <c r="I13" s="59"/>
      <c r="J13" s="59"/>
      <c r="K13" s="23"/>
    </row>
    <row r="14" spans="1:58" ht="18" customHeight="1" thickBot="1">
      <c r="A14" s="23"/>
      <c r="B14" s="69"/>
      <c r="C14" s="60"/>
      <c r="D14" s="76" t="s">
        <v>48</v>
      </c>
      <c r="E14" s="60" t="s">
        <v>0</v>
      </c>
      <c r="F14" s="60" t="s">
        <v>1</v>
      </c>
      <c r="G14" s="9" t="s">
        <v>36</v>
      </c>
      <c r="H14" s="9" t="s">
        <v>37</v>
      </c>
      <c r="I14" s="73" t="s">
        <v>47</v>
      </c>
      <c r="J14" s="75" t="s">
        <v>43</v>
      </c>
      <c r="K14" s="23"/>
      <c r="P14" s="43" t="s">
        <v>12</v>
      </c>
      <c r="Q14" s="43"/>
      <c r="R14" s="43"/>
      <c r="S14" s="43"/>
      <c r="T14" s="43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N14" s="41" t="s">
        <v>10</v>
      </c>
      <c r="AO14" s="10"/>
      <c r="AP14" s="10"/>
      <c r="AQ14" s="10"/>
      <c r="AR14" s="11"/>
      <c r="AS14" s="11"/>
      <c r="AT14" s="11"/>
      <c r="AU14" s="11"/>
    </row>
    <row r="15" spans="1:58" ht="18" customHeight="1">
      <c r="A15" s="23"/>
      <c r="B15" s="69"/>
      <c r="C15" s="60" t="s">
        <v>2</v>
      </c>
      <c r="D15" s="61"/>
      <c r="E15" s="62"/>
      <c r="F15" s="62"/>
      <c r="G15" s="122" t="e">
        <f>((E16-E18)/2)*(F17-(((F16-F18)/(E16-E18))*(E17-E18)+F18))/$N$8</f>
        <v>#DIV/0!</v>
      </c>
      <c r="H15" s="122">
        <f>T17/$T$8</f>
        <v>0</v>
      </c>
      <c r="I15" s="116">
        <f>AI18</f>
        <v>0</v>
      </c>
      <c r="J15" s="110">
        <f>R16</f>
        <v>0</v>
      </c>
      <c r="K15" s="23"/>
      <c r="L15" s="42"/>
      <c r="M15" s="42"/>
      <c r="N15" s="42"/>
      <c r="P15" s="44" t="s">
        <v>13</v>
      </c>
      <c r="Q15" s="44" t="s">
        <v>14</v>
      </c>
      <c r="R15" s="44" t="s">
        <v>15</v>
      </c>
      <c r="S15" s="44" t="s">
        <v>16</v>
      </c>
      <c r="T15" s="44" t="s">
        <v>17</v>
      </c>
      <c r="W15"/>
      <c r="X15"/>
      <c r="Y15"/>
      <c r="Z15"/>
      <c r="AA15"/>
      <c r="AB15"/>
      <c r="AC15"/>
      <c r="AD15"/>
      <c r="AE15" s="5"/>
      <c r="AF15" s="5"/>
      <c r="AG15" s="5"/>
      <c r="AH15" s="5"/>
      <c r="AI15"/>
      <c r="AJ15"/>
      <c r="AN15" s="12">
        <v>0.05</v>
      </c>
      <c r="AO15" s="13" t="s">
        <v>0</v>
      </c>
      <c r="AP15" s="14">
        <v>0.28077032976516975</v>
      </c>
      <c r="AQ15" s="15">
        <v>0.29409417492672491</v>
      </c>
      <c r="AR15" s="15">
        <v>0.27929326945722466</v>
      </c>
      <c r="AS15" s="15">
        <v>0.26687558742110173</v>
      </c>
      <c r="AT15" s="16">
        <v>0.28077032976516975</v>
      </c>
      <c r="AU15" s="74"/>
    </row>
    <row r="16" spans="1:58" ht="18" customHeight="1" thickBot="1">
      <c r="A16" s="23"/>
      <c r="B16" s="69"/>
      <c r="C16" s="63" t="s">
        <v>3</v>
      </c>
      <c r="D16" s="61"/>
      <c r="E16" s="62"/>
      <c r="F16" s="62"/>
      <c r="G16" s="122"/>
      <c r="H16" s="122"/>
      <c r="I16" s="116"/>
      <c r="J16" s="111"/>
      <c r="K16" s="23"/>
      <c r="L16" s="42">
        <f>E16</f>
        <v>0</v>
      </c>
      <c r="M16" s="42">
        <f>F16</f>
        <v>0</v>
      </c>
      <c r="N16" s="42"/>
      <c r="P16" s="42"/>
      <c r="Q16" s="42"/>
      <c r="R16" s="42">
        <f>(L16*4)/(-2*L16+12*M16+3)</f>
        <v>0</v>
      </c>
      <c r="S16" s="42">
        <f>(M16*9)/(-2*L16+12*M16+3)</f>
        <v>0</v>
      </c>
      <c r="T16" s="42"/>
      <c r="W16"/>
      <c r="X16"/>
      <c r="Y16"/>
      <c r="Z16"/>
      <c r="AA16"/>
      <c r="AB16"/>
      <c r="AC16"/>
      <c r="AD16"/>
      <c r="AE16" s="6"/>
      <c r="AF16" s="6"/>
      <c r="AG16" s="6"/>
      <c r="AH16" s="6"/>
      <c r="AI16"/>
      <c r="AJ16"/>
      <c r="AN16" s="17"/>
      <c r="AO16" s="18" t="s">
        <v>1</v>
      </c>
      <c r="AP16" s="19">
        <v>0.29713269380142271</v>
      </c>
      <c r="AQ16" s="20">
        <v>0.29835174371559331</v>
      </c>
      <c r="AR16" s="20">
        <v>0.273868993951288</v>
      </c>
      <c r="AS16" s="20">
        <v>0.27193662916166572</v>
      </c>
      <c r="AT16" s="21">
        <v>0.29713269380142271</v>
      </c>
      <c r="AU16" s="74"/>
    </row>
    <row r="17" spans="1:61" ht="18" customHeight="1">
      <c r="A17" s="23"/>
      <c r="B17" s="69"/>
      <c r="C17" s="64" t="s">
        <v>4</v>
      </c>
      <c r="D17" s="61"/>
      <c r="E17" s="62"/>
      <c r="F17" s="62"/>
      <c r="G17" s="122"/>
      <c r="H17" s="122"/>
      <c r="I17" s="116"/>
      <c r="J17" s="111"/>
      <c r="K17" s="23"/>
      <c r="L17" s="42">
        <f>E17</f>
        <v>0</v>
      </c>
      <c r="M17" s="42">
        <f t="shared" ref="M17:M18" si="5">F17</f>
        <v>0</v>
      </c>
      <c r="N17" s="42">
        <f>ABS((L16-L18)*(M17-M18)-(M16-M18)*(L17-L18))/2</f>
        <v>0</v>
      </c>
      <c r="P17" s="42"/>
      <c r="Q17" s="42"/>
      <c r="R17" s="42">
        <f>(L17*4)/(-2*L17+12*M17+3)</f>
        <v>0</v>
      </c>
      <c r="S17" s="42">
        <f>(M17*9)/(-2*L17+12*M17+3)</f>
        <v>0</v>
      </c>
      <c r="T17" s="42">
        <f>ABS((R16-R18)*(S17-S18)-(S16-S18)*(R17-R18))/2</f>
        <v>0</v>
      </c>
      <c r="W17"/>
      <c r="X17"/>
      <c r="Y17"/>
      <c r="Z17"/>
      <c r="AA17"/>
      <c r="AB17"/>
      <c r="AC17"/>
      <c r="AD17"/>
      <c r="AE17" s="7"/>
      <c r="AF17" s="7"/>
      <c r="AG17" s="7"/>
      <c r="AH17" s="7"/>
      <c r="AI17"/>
      <c r="AJ17"/>
      <c r="AN17" s="12">
        <v>0.04</v>
      </c>
      <c r="AO17" s="13" t="s">
        <v>0</v>
      </c>
      <c r="AP17" s="14">
        <v>0.2806109533760951</v>
      </c>
      <c r="AQ17" s="15">
        <v>0.29120107683694263</v>
      </c>
      <c r="AR17" s="15">
        <v>0.27942975322066271</v>
      </c>
      <c r="AS17" s="15">
        <v>0.26942021538675298</v>
      </c>
      <c r="AT17" s="16">
        <v>0.2806109533760951</v>
      </c>
      <c r="AU17" s="74"/>
    </row>
    <row r="18" spans="1:61" ht="18" customHeight="1" thickBot="1">
      <c r="A18" s="23"/>
      <c r="B18" s="69"/>
      <c r="C18" s="65" t="s">
        <v>5</v>
      </c>
      <c r="D18" s="61"/>
      <c r="E18" s="62"/>
      <c r="F18" s="62"/>
      <c r="G18" s="122"/>
      <c r="H18" s="122"/>
      <c r="I18" s="116"/>
      <c r="J18" s="111"/>
      <c r="K18" s="23"/>
      <c r="L18" s="42">
        <f>E18</f>
        <v>0</v>
      </c>
      <c r="M18" s="42">
        <f t="shared" si="5"/>
        <v>0</v>
      </c>
      <c r="N18" s="42"/>
      <c r="P18" s="42"/>
      <c r="Q18" s="42"/>
      <c r="R18" s="42">
        <f>(L18*4)/(-2*L18+12*M18+3)</f>
        <v>0</v>
      </c>
      <c r="S18" s="42">
        <f>(M18*9)/(-2*L18+12*M18+3)</f>
        <v>0</v>
      </c>
      <c r="T18" s="42"/>
      <c r="W18"/>
      <c r="X18"/>
      <c r="Y18"/>
      <c r="Z18"/>
      <c r="AA18"/>
      <c r="AB18"/>
      <c r="AC18"/>
      <c r="AD18"/>
      <c r="AE18" s="4"/>
      <c r="AF18" s="4"/>
      <c r="AG18" s="4"/>
      <c r="AH18" s="4"/>
      <c r="AI18"/>
      <c r="AJ18"/>
      <c r="AN18" s="17"/>
      <c r="AO18" s="18" t="s">
        <v>1</v>
      </c>
      <c r="AP18" s="19">
        <v>0.29462251567349745</v>
      </c>
      <c r="AQ18" s="20">
        <v>0.29566498463650936</v>
      </c>
      <c r="AR18" s="20">
        <v>0.27601861322543658</v>
      </c>
      <c r="AS18" s="20">
        <v>0.27452007379221055</v>
      </c>
      <c r="AT18" s="21">
        <v>0.29462251567349745</v>
      </c>
      <c r="AU18" s="74"/>
    </row>
    <row r="19" spans="1:61" ht="18" customHeight="1">
      <c r="A19" s="23"/>
      <c r="B19" s="69"/>
      <c r="C19" s="66" t="s">
        <v>6</v>
      </c>
      <c r="D19" s="67"/>
      <c r="E19" s="62"/>
      <c r="F19" s="62"/>
      <c r="G19" s="122"/>
      <c r="H19" s="122"/>
      <c r="I19" s="116"/>
      <c r="J19" s="111"/>
      <c r="K19" s="23"/>
      <c r="L19" s="42"/>
      <c r="M19" s="42"/>
      <c r="N19" s="42"/>
      <c r="P19" s="42"/>
      <c r="Q19" s="42"/>
      <c r="R19" s="42"/>
      <c r="S19" s="42"/>
      <c r="T19" s="42"/>
      <c r="W19"/>
      <c r="X19"/>
      <c r="Y19"/>
      <c r="Z19"/>
      <c r="AA19"/>
      <c r="AB19"/>
      <c r="AC19"/>
      <c r="AD19"/>
      <c r="AE19" s="4"/>
      <c r="AF19" s="4"/>
      <c r="AG19" s="4"/>
      <c r="AH19" s="4"/>
      <c r="AI19"/>
      <c r="AJ19"/>
      <c r="AN19" s="12">
        <v>0.03</v>
      </c>
      <c r="AO19" s="13" t="s">
        <v>0</v>
      </c>
      <c r="AP19" s="14">
        <v>0.28045426856077715</v>
      </c>
      <c r="AQ19" s="15">
        <v>0.28834444724048164</v>
      </c>
      <c r="AR19" s="15">
        <v>0.27956863023890888</v>
      </c>
      <c r="AS19" s="15">
        <v>0.27200531179548137</v>
      </c>
      <c r="AT19" s="16">
        <v>0.28045426856077715</v>
      </c>
      <c r="AU19" s="74"/>
    </row>
    <row r="20" spans="1:61" ht="18" customHeight="1" thickBot="1">
      <c r="A20" s="23"/>
      <c r="B20" s="69"/>
      <c r="C20" s="60" t="s">
        <v>34</v>
      </c>
      <c r="D20" s="113" t="e">
        <f>D15/D19</f>
        <v>#DIV/0!</v>
      </c>
      <c r="E20" s="114"/>
      <c r="F20" s="115"/>
      <c r="G20" s="122"/>
      <c r="H20" s="122"/>
      <c r="I20" s="116"/>
      <c r="J20" s="112"/>
      <c r="K20" s="23"/>
      <c r="W20"/>
      <c r="X20"/>
      <c r="Y20"/>
      <c r="AB20"/>
      <c r="AC20"/>
      <c r="AD20"/>
      <c r="AE20" s="4"/>
      <c r="AF20" s="4"/>
      <c r="AG20" s="4"/>
      <c r="AH20" s="4"/>
      <c r="AI20"/>
      <c r="AJ20"/>
      <c r="AN20" s="17"/>
      <c r="AO20" s="18" t="s">
        <v>1</v>
      </c>
      <c r="AP20" s="19">
        <v>0.29215472983223972</v>
      </c>
      <c r="AQ20" s="20">
        <v>0.29298523877086641</v>
      </c>
      <c r="AR20" s="20">
        <v>0.27820592626281387</v>
      </c>
      <c r="AS20" s="20">
        <v>0.27711907559990856</v>
      </c>
      <c r="AT20" s="21">
        <v>0.29215472983223972</v>
      </c>
      <c r="AU20" s="74"/>
    </row>
    <row r="21" spans="1:61" ht="18" customHeight="1">
      <c r="A21" s="23"/>
      <c r="B21" s="69"/>
      <c r="C21" s="23"/>
      <c r="D21" s="23"/>
      <c r="E21" s="23"/>
      <c r="F21" s="23"/>
      <c r="G21" s="23"/>
      <c r="H21" s="23"/>
      <c r="I21" s="59"/>
      <c r="J21" s="59"/>
      <c r="K21" s="23"/>
      <c r="AB21"/>
      <c r="AC21"/>
      <c r="AD21"/>
      <c r="AE21" s="4"/>
      <c r="AF21" s="4"/>
      <c r="AG21" s="4"/>
      <c r="AH21" s="4"/>
      <c r="AI21"/>
      <c r="AJ21"/>
      <c r="AN21" s="12">
        <v>0.02</v>
      </c>
      <c r="AO21" s="13" t="s">
        <v>0</v>
      </c>
      <c r="AP21" s="14">
        <v>0.28030023920203245</v>
      </c>
      <c r="AQ21" s="15">
        <v>0.2855249773170665</v>
      </c>
      <c r="AR21" s="15">
        <v>0.27970993846383235</v>
      </c>
      <c r="AS21" s="15">
        <v>0.27463056078220915</v>
      </c>
      <c r="AT21" s="16">
        <v>0.28030023920203245</v>
      </c>
      <c r="AU21" s="74"/>
    </row>
    <row r="22" spans="1:61" customFormat="1" ht="18" customHeight="1" thickBot="1">
      <c r="A22" s="23"/>
      <c r="AN22" s="17"/>
      <c r="AO22" s="18" t="s">
        <v>1</v>
      </c>
      <c r="AP22" s="19">
        <v>0.28972876743201115</v>
      </c>
      <c r="AQ22" s="20">
        <v>0.290313718178908</v>
      </c>
      <c r="AR22" s="20">
        <v>0.28043153080535943</v>
      </c>
      <c r="AS22" s="20">
        <v>0.2797327133718005</v>
      </c>
      <c r="AT22" s="21">
        <v>0.28972876743201115</v>
      </c>
      <c r="AU22" s="74"/>
      <c r="BE22" s="2"/>
      <c r="BF22" s="2"/>
      <c r="BG22" s="2"/>
      <c r="BH22" s="2"/>
      <c r="BI22" s="2"/>
    </row>
    <row r="23" spans="1:61" customFormat="1" ht="18" customHeight="1">
      <c r="A23" s="23"/>
      <c r="AN23" s="12">
        <v>0.01</v>
      </c>
      <c r="AO23" s="13" t="s">
        <v>0</v>
      </c>
      <c r="AP23" s="14">
        <v>0.28014882868822977</v>
      </c>
      <c r="AQ23" s="15">
        <v>0.28274330185465141</v>
      </c>
      <c r="AR23" s="15">
        <v>0.2798537157911184</v>
      </c>
      <c r="AS23" s="15">
        <v>0.27729559612241467</v>
      </c>
      <c r="AT23" s="16">
        <v>0.28014882868822977</v>
      </c>
      <c r="AU23" s="74"/>
    </row>
    <row r="24" spans="1:61" customFormat="1" ht="18" customHeight="1" thickBot="1">
      <c r="A24" s="23"/>
      <c r="AN24" s="17"/>
      <c r="AO24" s="35" t="s">
        <v>1</v>
      </c>
      <c r="AP24" s="31">
        <v>0.28734405183961781</v>
      </c>
      <c r="AQ24" s="32">
        <v>0.2876515948510438</v>
      </c>
      <c r="AR24" s="32">
        <v>0.28269602371011404</v>
      </c>
      <c r="AS24" s="32">
        <v>0.28236002348614703</v>
      </c>
      <c r="AT24" s="33">
        <v>0.28734405183961781</v>
      </c>
      <c r="AU24" s="74"/>
    </row>
    <row r="25" spans="1:61" customFormat="1" ht="18" customHeight="1">
      <c r="A25" s="23"/>
      <c r="AN25" s="34" t="s">
        <v>11</v>
      </c>
      <c r="AO25" s="29" t="s">
        <v>0</v>
      </c>
      <c r="AP25" s="36">
        <v>0.28045427000000001</v>
      </c>
      <c r="AQ25" s="36">
        <v>0.28834444999999997</v>
      </c>
      <c r="AR25" s="36">
        <v>0.29084900000000002</v>
      </c>
      <c r="AS25" s="36">
        <v>0.27929326999999998</v>
      </c>
      <c r="AT25" s="36">
        <v>0.272005</v>
      </c>
      <c r="AU25" s="36">
        <v>0.27200531</v>
      </c>
      <c r="AV25" s="37">
        <v>0.28045427000000001</v>
      </c>
      <c r="AW25" s="2"/>
    </row>
    <row r="26" spans="1:61" customFormat="1" ht="18" customHeight="1" thickBot="1">
      <c r="A26" s="23"/>
      <c r="AO26" s="30" t="s">
        <v>1</v>
      </c>
      <c r="AP26" s="38">
        <v>0.29215472999999997</v>
      </c>
      <c r="AQ26" s="38">
        <v>0.29298523999999998</v>
      </c>
      <c r="AR26" s="38">
        <v>0.29298523999999998</v>
      </c>
      <c r="AS26" s="38">
        <v>0.27386898999999998</v>
      </c>
      <c r="AT26" s="38">
        <v>0.27273500000000001</v>
      </c>
      <c r="AU26" s="38">
        <v>0.27711908000000002</v>
      </c>
      <c r="AV26" s="39">
        <v>0.29215472999999997</v>
      </c>
      <c r="AW26" s="2"/>
    </row>
    <row r="27" spans="1:61" customFormat="1" ht="18" customHeight="1">
      <c r="A27" s="23"/>
    </row>
    <row r="28" spans="1:61" customFormat="1" ht="18" customHeight="1">
      <c r="A28" s="23"/>
    </row>
    <row r="29" spans="1:61" customFormat="1" ht="18" customHeight="1">
      <c r="A29" s="23"/>
    </row>
    <row r="30" spans="1:61" customFormat="1" ht="18" customHeight="1">
      <c r="A30" s="23"/>
      <c r="AP30" s="2"/>
      <c r="AQ30" s="2"/>
    </row>
    <row r="31" spans="1:61" customFormat="1" ht="18" customHeight="1">
      <c r="A31" s="23"/>
      <c r="AP31" s="2"/>
      <c r="AQ31" s="2"/>
    </row>
    <row r="32" spans="1:61" customFormat="1" ht="18" customHeight="1">
      <c r="A32" s="23"/>
      <c r="AP32" s="2"/>
      <c r="AQ32" s="2"/>
    </row>
    <row r="33" spans="1:43" customFormat="1" ht="18" customHeight="1">
      <c r="A33" s="23"/>
      <c r="AP33" s="2"/>
      <c r="AQ33" s="2"/>
    </row>
    <row r="34" spans="1:43" customFormat="1" ht="18" customHeight="1">
      <c r="A34" s="23"/>
      <c r="AP34" s="2"/>
      <c r="AQ34" s="2"/>
    </row>
    <row r="35" spans="1:43" customFormat="1" ht="18" customHeight="1">
      <c r="A35" s="23"/>
      <c r="AP35" s="2"/>
      <c r="AQ35" s="2"/>
    </row>
    <row r="36" spans="1:43" customFormat="1" ht="18" customHeight="1">
      <c r="A36" s="23"/>
      <c r="AP36" s="2"/>
      <c r="AQ36" s="2"/>
    </row>
    <row r="37" spans="1:43" customFormat="1" ht="18" customHeight="1">
      <c r="A37" s="23"/>
    </row>
    <row r="38" spans="1:43" customFormat="1" ht="18" customHeight="1">
      <c r="A38" s="23"/>
    </row>
    <row r="39" spans="1:43" customFormat="1" ht="18" customHeight="1">
      <c r="A39" s="23"/>
    </row>
    <row r="40" spans="1:43" customFormat="1" ht="18" customHeight="1">
      <c r="A40" s="23"/>
    </row>
    <row r="41" spans="1:43" customFormat="1" ht="18" customHeight="1">
      <c r="A41" s="23"/>
    </row>
    <row r="42" spans="1:43" customFormat="1" ht="18" customHeight="1">
      <c r="A42" s="23"/>
    </row>
    <row r="43" spans="1:43" customFormat="1" ht="18" customHeight="1">
      <c r="A43" s="23"/>
    </row>
    <row r="44" spans="1:43" customFormat="1" ht="18" customHeight="1">
      <c r="A44" s="23"/>
    </row>
    <row r="45" spans="1:43" customFormat="1" ht="18" customHeight="1">
      <c r="A45" s="23"/>
    </row>
    <row r="46" spans="1:43" customFormat="1" ht="18" customHeight="1">
      <c r="A46" s="23"/>
    </row>
    <row r="47" spans="1:43" customFormat="1" ht="18" customHeight="1">
      <c r="A47" s="23"/>
    </row>
    <row r="48" spans="1:43" customFormat="1" ht="18" customHeight="1">
      <c r="A48" s="23"/>
    </row>
    <row r="49" spans="1:39" customFormat="1" ht="18" customHeight="1">
      <c r="A49" s="23"/>
    </row>
    <row r="50" spans="1:39" customFormat="1" ht="18" customHeight="1">
      <c r="A50" s="23"/>
    </row>
    <row r="51" spans="1:39" customFormat="1" ht="18" customHeight="1">
      <c r="A51" s="23"/>
    </row>
    <row r="52" spans="1:39" customFormat="1" ht="18" customHeight="1">
      <c r="A52" s="23"/>
    </row>
    <row r="53" spans="1:39" customFormat="1" ht="18" customHeight="1">
      <c r="A53" s="23"/>
    </row>
    <row r="54" spans="1:39" customFormat="1" ht="18" customHeight="1">
      <c r="A54" s="23"/>
    </row>
    <row r="55" spans="1:39" customFormat="1" ht="18" customHeight="1">
      <c r="A55" s="23"/>
    </row>
    <row r="56" spans="1:39" customFormat="1" ht="18" customHeight="1">
      <c r="A56" s="23"/>
    </row>
    <row r="57" spans="1:39" customFormat="1" ht="18" customHeight="1">
      <c r="A57" s="23"/>
    </row>
    <row r="58" spans="1:39" customFormat="1" ht="18" customHeight="1">
      <c r="A58" s="23"/>
    </row>
    <row r="59" spans="1:39" customFormat="1" ht="18" customHeight="1">
      <c r="A59" s="23"/>
    </row>
    <row r="60" spans="1:39" customFormat="1" ht="18" customHeight="1">
      <c r="A60" s="23"/>
    </row>
    <row r="61" spans="1:39" customFormat="1" ht="18" customHeight="1">
      <c r="A61" s="23"/>
    </row>
    <row r="62" spans="1:39" ht="18" customHeight="1">
      <c r="A62" s="23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</row>
    <row r="63" spans="1:39" ht="18" customHeight="1">
      <c r="A63" s="2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</row>
    <row r="64" spans="1:39" ht="18" customHeight="1">
      <c r="A64" s="23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</row>
    <row r="65" spans="1:39" ht="18" customHeight="1">
      <c r="A65" s="23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</row>
    <row r="66" spans="1:39">
      <c r="A66" s="23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</row>
    <row r="67" spans="1:39" ht="18">
      <c r="B67" s="69"/>
      <c r="AF67" s="8"/>
      <c r="AG67" s="8"/>
      <c r="AH67" s="8"/>
    </row>
    <row r="68" spans="1:39" ht="18">
      <c r="B68" s="69"/>
    </row>
  </sheetData>
  <sheetProtection selectLockedCells="1"/>
  <mergeCells count="16">
    <mergeCell ref="AU5:AU10"/>
    <mergeCell ref="J15:J20"/>
    <mergeCell ref="D20:F20"/>
    <mergeCell ref="I15:I20"/>
    <mergeCell ref="V4:Z4"/>
    <mergeCell ref="I6:I11"/>
    <mergeCell ref="H6:H11"/>
    <mergeCell ref="H15:H20"/>
    <mergeCell ref="G6:G11"/>
    <mergeCell ref="G15:G20"/>
    <mergeCell ref="J6:J11"/>
    <mergeCell ref="AR5:AR10"/>
    <mergeCell ref="AS5:AS10"/>
    <mergeCell ref="AT5:AT10"/>
    <mergeCell ref="AO10:AQ10"/>
    <mergeCell ref="D11:F11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Button_No2">
          <controlPr defaultSize="0" autoLine="0" r:id="rId5">
            <anchor moveWithCells="1">
              <from>
                <xdr:col>14</xdr:col>
                <xdr:colOff>0</xdr:colOff>
                <xdr:row>0</xdr:row>
                <xdr:rowOff>142875</xdr:rowOff>
              </from>
              <to>
                <xdr:col>15</xdr:col>
                <xdr:colOff>47625</xdr:colOff>
                <xdr:row>1</xdr:row>
                <xdr:rowOff>76200</xdr:rowOff>
              </to>
            </anchor>
          </controlPr>
        </control>
      </mc:Choice>
      <mc:Fallback>
        <control shapeId="1042" r:id="rId4" name="Button_No2"/>
      </mc:Fallback>
    </mc:AlternateContent>
    <mc:AlternateContent xmlns:mc="http://schemas.openxmlformats.org/markup-compatibility/2006">
      <mc:Choice Requires="x14">
        <control shapeId="1041" r:id="rId6" name="Button_No1">
          <controlPr defaultSize="0" autoLine="0" r:id="rId7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13</xdr:col>
                <xdr:colOff>571500</xdr:colOff>
                <xdr:row>1</xdr:row>
                <xdr:rowOff>76200</xdr:rowOff>
              </to>
            </anchor>
          </controlPr>
        </control>
      </mc:Choice>
      <mc:Fallback>
        <control shapeId="1041" r:id="rId6" name="Button_No1"/>
      </mc:Fallback>
    </mc:AlternateContent>
    <mc:AlternateContent xmlns:mc="http://schemas.openxmlformats.org/markup-compatibility/2006">
      <mc:Choice Requires="x14">
        <control shapeId="1040" r:id="rId8" name="Button_AllClear">
          <controlPr defaultSize="0" autoLine="0" r:id="rId9">
            <anchor moveWithCells="1">
              <from>
                <xdr:col>8</xdr:col>
                <xdr:colOff>876300</xdr:colOff>
                <xdr:row>0</xdr:row>
                <xdr:rowOff>123825</xdr:rowOff>
              </from>
              <to>
                <xdr:col>10</xdr:col>
                <xdr:colOff>209550</xdr:colOff>
                <xdr:row>1</xdr:row>
                <xdr:rowOff>95250</xdr:rowOff>
              </to>
            </anchor>
          </controlPr>
        </control>
      </mc:Choice>
      <mc:Fallback>
        <control shapeId="1040" r:id="rId8" name="Button_AllClear"/>
      </mc:Fallback>
    </mc:AlternateContent>
    <mc:AlternateContent xmlns:mc="http://schemas.openxmlformats.org/markup-compatibility/2006">
      <mc:Choice Requires="x14">
        <control shapeId="1043" r:id="rId10" name="Button_No3">
          <controlPr defaultSize="0" autoLine="0" r:id="rId11">
            <anchor moveWithCells="1">
              <from>
                <xdr:col>15</xdr:col>
                <xdr:colOff>219075</xdr:colOff>
                <xdr:row>0</xdr:row>
                <xdr:rowOff>142875</xdr:rowOff>
              </from>
              <to>
                <xdr:col>16</xdr:col>
                <xdr:colOff>276225</xdr:colOff>
                <xdr:row>1</xdr:row>
                <xdr:rowOff>76200</xdr:rowOff>
              </to>
            </anchor>
          </controlPr>
        </control>
      </mc:Choice>
      <mc:Fallback>
        <control shapeId="1043" r:id="rId10" name="Button_No3"/>
      </mc:Fallback>
    </mc:AlternateContent>
    <mc:AlternateContent xmlns:mc="http://schemas.openxmlformats.org/markup-compatibility/2006">
      <mc:Choice Requires="x14">
        <control shapeId="1044" r:id="rId12" name="Button_No4">
          <controlPr defaultSize="0" autoLine="0" r:id="rId13">
            <anchor moveWithCells="1">
              <from>
                <xdr:col>16</xdr:col>
                <xdr:colOff>438150</xdr:colOff>
                <xdr:row>0</xdr:row>
                <xdr:rowOff>133350</xdr:rowOff>
              </from>
              <to>
                <xdr:col>17</xdr:col>
                <xdr:colOff>438150</xdr:colOff>
                <xdr:row>1</xdr:row>
                <xdr:rowOff>66675</xdr:rowOff>
              </to>
            </anchor>
          </controlPr>
        </control>
      </mc:Choice>
      <mc:Fallback>
        <control shapeId="1044" r:id="rId12" name="Button_No4"/>
      </mc:Fallback>
    </mc:AlternateContent>
    <mc:AlternateContent xmlns:mc="http://schemas.openxmlformats.org/markup-compatibility/2006">
      <mc:Choice Requires="x14">
        <control shapeId="1045" r:id="rId14" name="Button_no5">
          <controlPr defaultSize="0" autoLine="0" r:id="rId15">
            <anchor moveWithCells="1">
              <from>
                <xdr:col>17</xdr:col>
                <xdr:colOff>590550</xdr:colOff>
                <xdr:row>0</xdr:row>
                <xdr:rowOff>123825</xdr:rowOff>
              </from>
              <to>
                <xdr:col>18</xdr:col>
                <xdr:colOff>609600</xdr:colOff>
                <xdr:row>1</xdr:row>
                <xdr:rowOff>57150</xdr:rowOff>
              </to>
            </anchor>
          </controlPr>
        </control>
      </mc:Choice>
      <mc:Fallback>
        <control shapeId="1045" r:id="rId14" name="Button_no5"/>
      </mc:Fallback>
    </mc:AlternateContent>
    <mc:AlternateContent xmlns:mc="http://schemas.openxmlformats.org/markup-compatibility/2006">
      <mc:Choice Requires="x14">
        <control shapeId="1046" r:id="rId16" name="Button_No6">
          <controlPr defaultSize="0" autoLine="0" r:id="rId17">
            <anchor moveWithCells="1">
              <from>
                <xdr:col>19</xdr:col>
                <xdr:colOff>47625</xdr:colOff>
                <xdr:row>0</xdr:row>
                <xdr:rowOff>123825</xdr:rowOff>
              </from>
              <to>
                <xdr:col>20</xdr:col>
                <xdr:colOff>47625</xdr:colOff>
                <xdr:row>1</xdr:row>
                <xdr:rowOff>57150</xdr:rowOff>
              </to>
            </anchor>
          </controlPr>
        </control>
      </mc:Choice>
      <mc:Fallback>
        <control shapeId="1046" r:id="rId16" name="Button_No6"/>
      </mc:Fallback>
    </mc:AlternateContent>
    <mc:AlternateContent xmlns:mc="http://schemas.openxmlformats.org/markup-compatibility/2006">
      <mc:Choice Requires="x14">
        <control shapeId="1047" r:id="rId18" name="Button_Report">
          <controlPr defaultSize="0" autoLine="0" r:id="rId19">
            <anchor moveWithCells="1">
              <from>
                <xdr:col>12</xdr:col>
                <xdr:colOff>371475</xdr:colOff>
                <xdr:row>1</xdr:row>
                <xdr:rowOff>171450</xdr:rowOff>
              </from>
              <to>
                <xdr:col>20</xdr:col>
                <xdr:colOff>285750</xdr:colOff>
                <xdr:row>2</xdr:row>
                <xdr:rowOff>76200</xdr:rowOff>
              </to>
            </anchor>
          </controlPr>
        </control>
      </mc:Choice>
      <mc:Fallback>
        <control shapeId="1047" r:id="rId18" name="Button_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4"/>
  <sheetViews>
    <sheetView showGridLines="0" zoomScale="55" zoomScaleNormal="55" workbookViewId="0">
      <selection activeCell="A4" sqref="A4:K67"/>
    </sheetView>
  </sheetViews>
  <sheetFormatPr defaultColWidth="8.88671875" defaultRowHeight="15"/>
  <cols>
    <col min="1" max="1" width="5" style="23" customWidth="1"/>
    <col min="2" max="2" width="4.77734375" style="23" customWidth="1"/>
    <col min="3" max="3" width="10.109375" style="23" customWidth="1"/>
    <col min="4" max="4" width="10.21875" style="23" bestFit="1" customWidth="1"/>
    <col min="5" max="5" width="18.21875" style="23" customWidth="1"/>
    <col min="6" max="7" width="17.77734375" style="23" customWidth="1"/>
    <col min="8" max="8" width="23.109375" style="24" customWidth="1"/>
    <col min="9" max="11" width="23.109375" style="23" customWidth="1"/>
    <col min="12" max="12" width="2.88671875" style="23" customWidth="1"/>
    <col min="13" max="16384" width="8.88671875" style="23"/>
  </cols>
  <sheetData>
    <row r="1" spans="1:12" ht="8.1" customHeight="1">
      <c r="A1" s="107"/>
      <c r="B1" s="107"/>
      <c r="C1" s="108"/>
      <c r="D1"/>
      <c r="E1"/>
      <c r="F1"/>
      <c r="G1"/>
      <c r="H1"/>
      <c r="I1"/>
      <c r="J1"/>
      <c r="K1"/>
      <c r="L1"/>
    </row>
    <row r="2" spans="1:12" ht="20.25" customHeight="1">
      <c r="A2" s="107"/>
      <c r="B2" s="109"/>
      <c r="C2" s="77" t="s">
        <v>49</v>
      </c>
      <c r="E2" s="24"/>
      <c r="F2" s="24"/>
      <c r="G2" s="24"/>
      <c r="H2" s="23"/>
      <c r="I2"/>
      <c r="J2"/>
      <c r="K2"/>
      <c r="L2"/>
    </row>
    <row r="3" spans="1:12">
      <c r="A3"/>
      <c r="C3" s="24"/>
      <c r="D3" s="24"/>
      <c r="E3" s="24"/>
      <c r="F3" s="24"/>
      <c r="G3" s="24"/>
      <c r="H3" s="23"/>
      <c r="I3"/>
      <c r="J3"/>
      <c r="K3"/>
      <c r="L3"/>
    </row>
    <row r="4" spans="1:12">
      <c r="A4"/>
      <c r="B4"/>
      <c r="C4"/>
      <c r="D4"/>
      <c r="E4"/>
      <c r="F4"/>
      <c r="G4"/>
      <c r="H4"/>
      <c r="I4"/>
      <c r="J4"/>
      <c r="K4"/>
      <c r="L4"/>
    </row>
    <row r="5" spans="1:12">
      <c r="A5"/>
      <c r="B5"/>
      <c r="C5"/>
      <c r="D5"/>
      <c r="E5"/>
      <c r="F5"/>
      <c r="G5"/>
      <c r="H5"/>
      <c r="I5"/>
      <c r="J5"/>
      <c r="K5"/>
      <c r="L5"/>
    </row>
    <row r="6" spans="1:12" ht="49.5" customHeight="1">
      <c r="A6"/>
      <c r="B6"/>
      <c r="C6"/>
      <c r="D6"/>
      <c r="E6"/>
      <c r="F6"/>
      <c r="G6"/>
      <c r="H6"/>
      <c r="I6"/>
      <c r="J6"/>
      <c r="K6"/>
      <c r="L6"/>
    </row>
    <row r="7" spans="1:12" ht="18" customHeight="1">
      <c r="A7"/>
      <c r="B7"/>
      <c r="C7"/>
      <c r="D7"/>
      <c r="E7"/>
      <c r="F7"/>
      <c r="G7"/>
      <c r="H7"/>
      <c r="I7"/>
      <c r="J7"/>
      <c r="K7"/>
      <c r="L7"/>
    </row>
    <row r="8" spans="1:12" ht="18" customHeight="1">
      <c r="A8"/>
      <c r="B8"/>
      <c r="C8"/>
      <c r="D8"/>
      <c r="E8"/>
      <c r="F8"/>
      <c r="G8"/>
      <c r="H8"/>
      <c r="I8"/>
      <c r="J8"/>
      <c r="K8"/>
      <c r="L8"/>
    </row>
    <row r="9" spans="1:12" ht="18" customHeight="1">
      <c r="A9"/>
      <c r="B9"/>
      <c r="C9"/>
      <c r="D9"/>
      <c r="E9"/>
      <c r="F9"/>
      <c r="G9"/>
      <c r="H9"/>
      <c r="I9"/>
      <c r="J9"/>
      <c r="K9"/>
      <c r="L9"/>
    </row>
    <row r="10" spans="1:12" ht="18" customHeight="1">
      <c r="A10"/>
      <c r="B10"/>
      <c r="C10"/>
      <c r="D10"/>
      <c r="E10"/>
      <c r="F10"/>
      <c r="G10"/>
      <c r="H10"/>
      <c r="I10"/>
      <c r="J10"/>
      <c r="K10"/>
      <c r="L10"/>
    </row>
    <row r="11" spans="1:12" ht="18" customHeight="1">
      <c r="A11"/>
      <c r="B11"/>
      <c r="C11"/>
      <c r="D11"/>
      <c r="E11"/>
      <c r="F11"/>
      <c r="G11"/>
      <c r="H11"/>
      <c r="I11"/>
      <c r="J11"/>
      <c r="K11"/>
      <c r="L11"/>
    </row>
    <row r="12" spans="1:12" ht="18" customHeight="1">
      <c r="A12"/>
      <c r="B12"/>
      <c r="C12"/>
      <c r="D12"/>
      <c r="E12"/>
      <c r="F12"/>
      <c r="G12"/>
      <c r="H12"/>
      <c r="I12"/>
      <c r="J12"/>
      <c r="K12"/>
      <c r="L12"/>
    </row>
    <row r="13" spans="1:12" ht="18" customHeight="1">
      <c r="A13"/>
      <c r="B13"/>
      <c r="C13"/>
      <c r="D13"/>
      <c r="E13"/>
      <c r="F13"/>
      <c r="G13"/>
      <c r="H13"/>
      <c r="I13"/>
      <c r="J13"/>
      <c r="K13"/>
      <c r="L13"/>
    </row>
    <row r="14" spans="1:12" ht="18" customHeight="1">
      <c r="A14"/>
      <c r="B14"/>
      <c r="C14"/>
      <c r="D14"/>
      <c r="E14"/>
      <c r="F14"/>
      <c r="G14"/>
      <c r="H14"/>
      <c r="I14"/>
      <c r="J14"/>
      <c r="K14"/>
      <c r="L14"/>
    </row>
    <row r="15" spans="1:12" ht="18" customHeight="1">
      <c r="A15"/>
      <c r="B15"/>
      <c r="C15"/>
      <c r="D15"/>
      <c r="E15"/>
      <c r="F15"/>
      <c r="G15"/>
      <c r="H15"/>
      <c r="I15"/>
      <c r="J15"/>
      <c r="K15"/>
      <c r="L15"/>
    </row>
    <row r="16" spans="1:12" ht="18" customHeight="1">
      <c r="A16"/>
      <c r="B16"/>
      <c r="C16"/>
      <c r="D16"/>
      <c r="E16"/>
      <c r="F16"/>
      <c r="G16"/>
      <c r="H16"/>
      <c r="I16"/>
      <c r="J16"/>
      <c r="K16"/>
      <c r="L16"/>
    </row>
    <row r="17" spans="1:12" ht="18" customHeight="1">
      <c r="A17"/>
      <c r="B17"/>
      <c r="C17"/>
      <c r="D17"/>
      <c r="E17"/>
      <c r="F17"/>
      <c r="G17"/>
      <c r="H17"/>
      <c r="I17"/>
      <c r="J17"/>
      <c r="K17"/>
      <c r="L17"/>
    </row>
    <row r="18" spans="1:12" ht="18" customHeight="1">
      <c r="A18"/>
      <c r="B18"/>
      <c r="C18"/>
      <c r="D18"/>
      <c r="E18"/>
      <c r="F18"/>
      <c r="G18"/>
      <c r="H18"/>
      <c r="I18"/>
      <c r="J18"/>
      <c r="K18"/>
      <c r="L18"/>
    </row>
    <row r="19" spans="1:12" ht="18" customHeight="1">
      <c r="A19"/>
      <c r="B19"/>
      <c r="C19"/>
      <c r="D19"/>
      <c r="E19"/>
      <c r="F19"/>
      <c r="G19"/>
      <c r="H19"/>
      <c r="I19"/>
      <c r="J19"/>
      <c r="K19"/>
      <c r="L19"/>
    </row>
    <row r="20" spans="1:12" ht="18" customHeight="1">
      <c r="A20"/>
      <c r="B20"/>
      <c r="C20"/>
      <c r="D20"/>
      <c r="E20"/>
      <c r="F20"/>
      <c r="G20"/>
      <c r="H20"/>
      <c r="I20"/>
      <c r="J20"/>
      <c r="K20"/>
      <c r="L20"/>
    </row>
    <row r="21" spans="1:12" ht="18" customHeight="1">
      <c r="A21"/>
      <c r="B21"/>
      <c r="C21"/>
      <c r="D21"/>
      <c r="E21"/>
      <c r="F21"/>
      <c r="G21"/>
      <c r="H21"/>
      <c r="I21"/>
      <c r="J21"/>
      <c r="K21"/>
      <c r="L21"/>
    </row>
    <row r="22" spans="1:12" ht="18" customHeight="1">
      <c r="A22"/>
      <c r="B22"/>
      <c r="C22"/>
      <c r="D22"/>
      <c r="E22"/>
      <c r="F22"/>
      <c r="G22"/>
      <c r="H22"/>
      <c r="I22"/>
      <c r="J22"/>
      <c r="K22"/>
      <c r="L22"/>
    </row>
    <row r="23" spans="1:12" ht="18" customHeight="1">
      <c r="A23"/>
      <c r="B23"/>
      <c r="C23"/>
      <c r="D23"/>
      <c r="E23"/>
      <c r="F23"/>
      <c r="G23"/>
      <c r="H23"/>
      <c r="I23"/>
      <c r="J23"/>
      <c r="K23"/>
      <c r="L23"/>
    </row>
    <row r="24" spans="1:12" ht="18" customHeight="1">
      <c r="A24"/>
      <c r="B24"/>
      <c r="C24"/>
      <c r="D24"/>
      <c r="E24"/>
      <c r="F24"/>
      <c r="G24"/>
      <c r="H24"/>
      <c r="I24"/>
      <c r="J24"/>
      <c r="K24"/>
      <c r="L24"/>
    </row>
    <row r="25" spans="1:12" ht="18" customHeight="1">
      <c r="A25"/>
      <c r="B25"/>
      <c r="C25"/>
      <c r="D25"/>
      <c r="E25"/>
      <c r="F25"/>
      <c r="G25"/>
      <c r="H25"/>
      <c r="I25"/>
      <c r="J25"/>
      <c r="K25"/>
      <c r="L25"/>
    </row>
    <row r="26" spans="1:12" ht="18" customHeight="1">
      <c r="A26"/>
      <c r="B26"/>
      <c r="C26"/>
      <c r="D26"/>
      <c r="E26"/>
      <c r="F26"/>
      <c r="G26"/>
      <c r="H26"/>
      <c r="I26"/>
      <c r="J26"/>
      <c r="K26"/>
      <c r="L26"/>
    </row>
    <row r="27" spans="1:12" ht="18" customHeight="1">
      <c r="A27"/>
      <c r="B27"/>
      <c r="C27"/>
      <c r="D27"/>
      <c r="E27"/>
      <c r="F27"/>
      <c r="G27"/>
      <c r="H27"/>
      <c r="I27"/>
      <c r="J27"/>
      <c r="K27"/>
      <c r="L27"/>
    </row>
    <row r="28" spans="1:12" ht="18" customHeight="1">
      <c r="A28"/>
      <c r="B28"/>
      <c r="C28"/>
      <c r="D28"/>
      <c r="E28"/>
      <c r="F28"/>
      <c r="G28"/>
      <c r="H28"/>
      <c r="I28"/>
      <c r="J28"/>
      <c r="K28"/>
      <c r="L28"/>
    </row>
    <row r="29" spans="1:12" ht="18" customHeight="1">
      <c r="A29"/>
      <c r="B29"/>
      <c r="C29"/>
      <c r="D29"/>
      <c r="E29"/>
      <c r="F29"/>
      <c r="G29"/>
      <c r="H29"/>
      <c r="I29"/>
      <c r="J29"/>
      <c r="K29"/>
      <c r="L29"/>
    </row>
    <row r="30" spans="1:12" ht="18" customHeight="1">
      <c r="A30"/>
      <c r="B30"/>
      <c r="C30"/>
      <c r="D30"/>
      <c r="E30"/>
      <c r="F30"/>
      <c r="G30"/>
      <c r="H30"/>
      <c r="I30"/>
      <c r="J30"/>
      <c r="K30"/>
      <c r="L30"/>
    </row>
    <row r="31" spans="1:12" ht="18" customHeight="1">
      <c r="A31"/>
      <c r="B31"/>
      <c r="C31"/>
      <c r="D31"/>
      <c r="E31"/>
      <c r="F31"/>
      <c r="G31"/>
      <c r="H31"/>
      <c r="I31"/>
      <c r="J31"/>
      <c r="K31"/>
      <c r="L31"/>
    </row>
    <row r="32" spans="1:12" ht="18" customHeight="1">
      <c r="A32"/>
      <c r="B32"/>
      <c r="C32"/>
      <c r="D32"/>
      <c r="E32"/>
      <c r="F32"/>
      <c r="G32"/>
      <c r="H32"/>
      <c r="I32"/>
      <c r="J32"/>
      <c r="K32"/>
      <c r="L32"/>
    </row>
    <row r="33" spans="1:12" ht="18" customHeight="1">
      <c r="A33"/>
      <c r="B33"/>
      <c r="C33"/>
      <c r="D33"/>
      <c r="E33"/>
      <c r="F33"/>
      <c r="G33"/>
      <c r="H33"/>
      <c r="I33"/>
      <c r="J33"/>
      <c r="K33"/>
      <c r="L33"/>
    </row>
    <row r="34" spans="1:12" ht="18" customHeight="1">
      <c r="A34"/>
      <c r="B34"/>
      <c r="C34"/>
      <c r="D34"/>
      <c r="E34"/>
      <c r="F34"/>
      <c r="G34"/>
      <c r="H34"/>
      <c r="I34"/>
      <c r="J34"/>
      <c r="K34"/>
      <c r="L34"/>
    </row>
    <row r="35" spans="1:12" ht="18" customHeight="1">
      <c r="A35"/>
      <c r="B35"/>
      <c r="C35"/>
      <c r="D35"/>
      <c r="E35"/>
      <c r="F35"/>
      <c r="G35"/>
      <c r="H35"/>
      <c r="I35"/>
      <c r="J35"/>
      <c r="K35"/>
      <c r="L35"/>
    </row>
    <row r="36" spans="1:12" ht="18" customHeight="1">
      <c r="A36"/>
      <c r="B36"/>
      <c r="C36"/>
      <c r="D36"/>
      <c r="E36"/>
      <c r="F36"/>
      <c r="G36"/>
      <c r="H36"/>
      <c r="I36"/>
      <c r="J36"/>
      <c r="K36"/>
      <c r="L36"/>
    </row>
    <row r="37" spans="1:12" ht="18" customHeight="1">
      <c r="A37"/>
      <c r="B37"/>
      <c r="C37"/>
      <c r="D37"/>
      <c r="E37"/>
      <c r="F37"/>
      <c r="G37"/>
      <c r="H37"/>
      <c r="I37"/>
      <c r="J37"/>
      <c r="K37"/>
      <c r="L37"/>
    </row>
    <row r="38" spans="1:12" ht="18" customHeight="1">
      <c r="A38"/>
      <c r="B38"/>
      <c r="C38"/>
      <c r="D38"/>
      <c r="E38"/>
      <c r="F38"/>
      <c r="G38"/>
      <c r="H38"/>
      <c r="I38"/>
      <c r="J38"/>
      <c r="K38"/>
      <c r="L38"/>
    </row>
    <row r="39" spans="1:12" ht="18" customHeight="1">
      <c r="A39"/>
      <c r="B39"/>
      <c r="C39"/>
      <c r="D39"/>
      <c r="E39"/>
      <c r="F39"/>
      <c r="G39"/>
      <c r="H39"/>
      <c r="I39"/>
      <c r="J39"/>
      <c r="K39"/>
      <c r="L39"/>
    </row>
    <row r="40" spans="1:12" ht="18" customHeight="1">
      <c r="A40"/>
      <c r="B40"/>
      <c r="C40"/>
      <c r="D40"/>
      <c r="E40"/>
      <c r="F40"/>
      <c r="G40"/>
      <c r="H40"/>
      <c r="I40"/>
      <c r="J40"/>
      <c r="K40"/>
      <c r="L40"/>
    </row>
    <row r="41" spans="1:12" ht="18" customHeight="1">
      <c r="A41"/>
      <c r="B41"/>
      <c r="C41"/>
      <c r="D41"/>
      <c r="E41"/>
      <c r="F41"/>
      <c r="G41"/>
      <c r="H41"/>
      <c r="I41"/>
      <c r="J41"/>
      <c r="K41"/>
      <c r="L41"/>
    </row>
    <row r="42" spans="1:12" ht="18" customHeight="1">
      <c r="A42"/>
      <c r="B42"/>
      <c r="C42"/>
      <c r="D42"/>
      <c r="E42"/>
      <c r="F42"/>
      <c r="G42"/>
      <c r="H42"/>
      <c r="I42"/>
      <c r="J42"/>
      <c r="K42"/>
      <c r="L42"/>
    </row>
    <row r="43" spans="1:12" ht="18" customHeight="1">
      <c r="A43"/>
      <c r="B43"/>
      <c r="C43"/>
      <c r="D43"/>
      <c r="E43"/>
      <c r="F43"/>
      <c r="G43"/>
      <c r="H43"/>
      <c r="I43"/>
      <c r="J43"/>
      <c r="K43"/>
      <c r="L43"/>
    </row>
    <row r="44" spans="1:12" ht="18" customHeight="1">
      <c r="A44"/>
      <c r="B44"/>
      <c r="C44"/>
      <c r="D44"/>
      <c r="E44"/>
      <c r="F44"/>
      <c r="G44"/>
      <c r="H44"/>
      <c r="I44"/>
      <c r="J44"/>
      <c r="K44"/>
      <c r="L44"/>
    </row>
    <row r="45" spans="1:12" ht="18" customHeight="1">
      <c r="A45"/>
      <c r="B45"/>
      <c r="C45"/>
      <c r="D45"/>
      <c r="E45"/>
      <c r="F45"/>
      <c r="G45"/>
      <c r="H45"/>
      <c r="I45"/>
      <c r="J45"/>
      <c r="K45"/>
      <c r="L45"/>
    </row>
    <row r="46" spans="1:12" ht="18" customHeight="1">
      <c r="A46"/>
      <c r="B46"/>
      <c r="C46"/>
      <c r="D46"/>
      <c r="E46"/>
      <c r="F46"/>
      <c r="G46"/>
      <c r="H46"/>
      <c r="I46"/>
      <c r="J46"/>
      <c r="K46"/>
      <c r="L46"/>
    </row>
    <row r="47" spans="1:12" ht="18" customHeight="1">
      <c r="A47"/>
      <c r="B47"/>
      <c r="C47"/>
      <c r="D47"/>
      <c r="E47"/>
      <c r="F47"/>
      <c r="G47"/>
      <c r="H47"/>
      <c r="I47"/>
      <c r="J47"/>
      <c r="K47"/>
      <c r="L47"/>
    </row>
    <row r="48" spans="1:12" ht="18" customHeight="1">
      <c r="A48"/>
      <c r="B48"/>
      <c r="C48"/>
      <c r="D48"/>
      <c r="E48"/>
      <c r="F48"/>
      <c r="G48"/>
      <c r="H48"/>
      <c r="I48"/>
      <c r="J48"/>
      <c r="K48"/>
      <c r="L48"/>
    </row>
    <row r="49" spans="1:12" ht="18" customHeight="1">
      <c r="A49"/>
      <c r="B49"/>
      <c r="C49"/>
      <c r="D49"/>
      <c r="E49"/>
      <c r="F49"/>
      <c r="G49"/>
      <c r="H49"/>
      <c r="I49"/>
      <c r="J49"/>
      <c r="K49"/>
      <c r="L49"/>
    </row>
    <row r="50" spans="1:12" ht="18" customHeight="1">
      <c r="A50"/>
      <c r="B50"/>
      <c r="C50"/>
      <c r="D50"/>
      <c r="E50"/>
      <c r="F50"/>
      <c r="G50"/>
      <c r="H50"/>
      <c r="I50"/>
      <c r="J50"/>
      <c r="K50"/>
      <c r="L50"/>
    </row>
    <row r="51" spans="1:12" ht="18" customHeight="1">
      <c r="A51"/>
      <c r="B51"/>
      <c r="C51"/>
      <c r="D51"/>
      <c r="E51"/>
      <c r="F51"/>
      <c r="G51"/>
      <c r="H51"/>
      <c r="I51"/>
      <c r="J51"/>
      <c r="K51"/>
      <c r="L51"/>
    </row>
    <row r="52" spans="1:12" ht="18" customHeight="1">
      <c r="A52"/>
      <c r="B52"/>
      <c r="C52"/>
      <c r="D52"/>
      <c r="E52"/>
      <c r="F52"/>
      <c r="G52"/>
      <c r="H52"/>
      <c r="I52"/>
      <c r="J52"/>
      <c r="K52"/>
      <c r="L52"/>
    </row>
    <row r="53" spans="1:12" ht="18" customHeight="1">
      <c r="A53"/>
      <c r="B53"/>
      <c r="C53"/>
      <c r="D53"/>
      <c r="E53"/>
      <c r="F53"/>
      <c r="G53"/>
      <c r="H53"/>
      <c r="I53"/>
      <c r="J53"/>
      <c r="K53"/>
      <c r="L53"/>
    </row>
    <row r="54" spans="1:12" ht="18" customHeight="1">
      <c r="A54"/>
      <c r="B54"/>
      <c r="C54"/>
      <c r="D54"/>
      <c r="E54"/>
      <c r="F54"/>
      <c r="G54"/>
      <c r="H54"/>
      <c r="I54"/>
      <c r="J54"/>
      <c r="K54"/>
      <c r="L54"/>
    </row>
    <row r="55" spans="1:12" ht="18" customHeight="1">
      <c r="A55"/>
      <c r="B55"/>
      <c r="C55"/>
      <c r="D55"/>
      <c r="E55"/>
      <c r="F55"/>
      <c r="G55"/>
      <c r="H55"/>
      <c r="I55"/>
      <c r="J55"/>
      <c r="K55"/>
      <c r="L55"/>
    </row>
    <row r="56" spans="1:12" ht="18" customHeight="1">
      <c r="A56"/>
      <c r="B56"/>
      <c r="C56"/>
      <c r="D56"/>
      <c r="E56"/>
      <c r="F56"/>
      <c r="G56"/>
      <c r="H56"/>
      <c r="I56"/>
      <c r="J56"/>
      <c r="K56"/>
      <c r="L56"/>
    </row>
    <row r="57" spans="1:12" ht="18" customHeight="1">
      <c r="A57"/>
      <c r="B57"/>
      <c r="C57"/>
      <c r="D57"/>
      <c r="E57"/>
      <c r="F57"/>
      <c r="G57"/>
      <c r="H57"/>
      <c r="I57"/>
      <c r="J57"/>
      <c r="K57"/>
      <c r="L57"/>
    </row>
    <row r="58" spans="1:12" ht="18" customHeight="1">
      <c r="A58"/>
      <c r="B58"/>
      <c r="C58"/>
      <c r="D58"/>
      <c r="E58"/>
      <c r="F58"/>
      <c r="G58"/>
      <c r="H58"/>
      <c r="I58"/>
      <c r="J58"/>
      <c r="K58"/>
      <c r="L58"/>
    </row>
    <row r="59" spans="1:12" ht="18" customHeight="1">
      <c r="A59"/>
      <c r="B59"/>
      <c r="C59"/>
      <c r="D59"/>
      <c r="E59"/>
      <c r="F59"/>
      <c r="G59"/>
      <c r="H59"/>
      <c r="I59"/>
      <c r="J59"/>
      <c r="K59"/>
      <c r="L59"/>
    </row>
    <row r="60" spans="1:12" ht="18" customHeight="1">
      <c r="A60"/>
      <c r="B60"/>
      <c r="C60"/>
      <c r="D60"/>
      <c r="E60"/>
      <c r="F60"/>
      <c r="G60"/>
      <c r="H60"/>
      <c r="I60"/>
      <c r="J60"/>
      <c r="K60"/>
      <c r="L60"/>
    </row>
    <row r="61" spans="1:12" ht="18" customHeight="1">
      <c r="A61"/>
      <c r="B61"/>
      <c r="C61"/>
      <c r="D61"/>
      <c r="E61"/>
      <c r="F61"/>
      <c r="G61"/>
      <c r="H61"/>
      <c r="I61"/>
      <c r="J61"/>
      <c r="K61"/>
      <c r="L61"/>
    </row>
    <row r="62" spans="1:12" ht="18" customHeight="1">
      <c r="A62"/>
      <c r="B62"/>
      <c r="C62"/>
      <c r="D62"/>
      <c r="E62"/>
      <c r="F62"/>
      <c r="G62"/>
      <c r="H62"/>
      <c r="I62"/>
      <c r="J62"/>
      <c r="K62"/>
      <c r="L62"/>
    </row>
    <row r="63" spans="1:12" ht="18" customHeight="1">
      <c r="A63"/>
      <c r="B63"/>
      <c r="C63"/>
      <c r="D63"/>
      <c r="E63"/>
      <c r="F63"/>
      <c r="G63"/>
      <c r="H63"/>
      <c r="I63"/>
      <c r="J63"/>
      <c r="K63"/>
      <c r="L63"/>
    </row>
    <row r="64" spans="1:12" ht="18" customHeight="1">
      <c r="A64"/>
      <c r="B64"/>
      <c r="C64"/>
      <c r="D64"/>
      <c r="E64"/>
      <c r="F64"/>
      <c r="G64"/>
      <c r="H64"/>
      <c r="I64"/>
      <c r="J64"/>
      <c r="K64"/>
      <c r="L64"/>
    </row>
    <row r="65" spans="1:12" ht="18" customHeight="1">
      <c r="A65"/>
      <c r="B65"/>
      <c r="C65"/>
      <c r="D65"/>
      <c r="E65"/>
      <c r="F65"/>
      <c r="G65"/>
      <c r="H65"/>
      <c r="I65"/>
      <c r="J65"/>
      <c r="K65"/>
      <c r="L65"/>
    </row>
    <row r="66" spans="1:12" ht="18" customHeight="1">
      <c r="A66"/>
      <c r="B66"/>
      <c r="C66"/>
      <c r="D66"/>
      <c r="E66"/>
      <c r="F66"/>
      <c r="G66"/>
      <c r="H66"/>
      <c r="I66"/>
      <c r="J66"/>
      <c r="K66"/>
      <c r="L66"/>
    </row>
    <row r="67" spans="1:12">
      <c r="A67"/>
      <c r="B67"/>
      <c r="C67"/>
      <c r="D67"/>
      <c r="E67"/>
      <c r="F67"/>
      <c r="G67"/>
      <c r="H67"/>
      <c r="I67"/>
      <c r="J67"/>
      <c r="K67"/>
      <c r="L67"/>
    </row>
    <row r="68" spans="1:12" ht="15.75" thickBot="1"/>
    <row r="69" spans="1:12" ht="27.95" customHeight="1" thickBot="1">
      <c r="E69" s="96"/>
      <c r="F69" s="96"/>
      <c r="G69" s="96"/>
      <c r="H69" s="96"/>
      <c r="I69" s="96"/>
      <c r="J69" s="96"/>
    </row>
    <row r="70" spans="1:12" ht="27.95" customHeight="1" thickTop="1" thickBot="1">
      <c r="E70" s="97"/>
      <c r="F70" s="98"/>
      <c r="G70" s="98"/>
      <c r="H70" s="98"/>
      <c r="I70" s="98"/>
      <c r="J70" s="98"/>
    </row>
    <row r="71" spans="1:12" ht="27.95" customHeight="1" thickBot="1">
      <c r="E71" s="99"/>
      <c r="F71" s="100"/>
      <c r="G71" s="100"/>
      <c r="H71" s="100"/>
      <c r="I71" s="100"/>
      <c r="J71" s="100"/>
    </row>
    <row r="72" spans="1:12" ht="27.95" customHeight="1">
      <c r="E72" s="101"/>
      <c r="F72" s="102"/>
      <c r="G72" s="102"/>
      <c r="H72" s="102"/>
      <c r="I72" s="102"/>
      <c r="J72" s="102"/>
    </row>
    <row r="73" spans="1:12" ht="27.95" customHeight="1">
      <c r="E73" s="103"/>
      <c r="F73" s="104"/>
      <c r="G73" s="104"/>
      <c r="H73" s="104"/>
      <c r="I73" s="104"/>
      <c r="J73" s="104"/>
    </row>
    <row r="74" spans="1:12" ht="27.95" customHeight="1" thickBot="1">
      <c r="E74" s="105"/>
      <c r="F74" s="106"/>
      <c r="G74" s="106"/>
      <c r="H74" s="106"/>
      <c r="I74" s="106"/>
      <c r="J74" s="106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402"/>
  <sheetViews>
    <sheetView zoomScale="70" zoomScaleNormal="70" workbookViewId="0">
      <selection activeCell="B2" sqref="B2:AE402"/>
    </sheetView>
  </sheetViews>
  <sheetFormatPr defaultRowHeight="15"/>
  <cols>
    <col min="2" max="2" width="13" bestFit="1" customWidth="1"/>
  </cols>
  <sheetData>
    <row r="1" spans="1:31">
      <c r="B1" t="str">
        <f>Lv_xy!$B$13&amp;"_White"</f>
        <v>_White</v>
      </c>
      <c r="C1" t="str">
        <f>Lv_xy!$B$13&amp;"_Red"</f>
        <v>_Red</v>
      </c>
      <c r="D1" t="str">
        <f>Lv_xy!$B$13&amp;"_Green"</f>
        <v>_Green</v>
      </c>
      <c r="E1" t="str">
        <f>Lv_xy!$B$13&amp;"_Blue"</f>
        <v>_Blue</v>
      </c>
      <c r="F1" t="str">
        <f>Lv_xy!$B$13&amp;"_Black"</f>
        <v>_Black</v>
      </c>
      <c r="G1" t="str">
        <f>Lv_xy!$B$22&amp;"_White"</f>
        <v>_White</v>
      </c>
      <c r="H1" t="str">
        <f>Lv_xy!$B$22&amp;"_Red"</f>
        <v>_Red</v>
      </c>
      <c r="I1" t="str">
        <f>Lv_xy!$B$22&amp;"_Green"</f>
        <v>_Green</v>
      </c>
      <c r="J1" t="str">
        <f>Lv_xy!$B$22&amp;"_Blue"</f>
        <v>_Blue</v>
      </c>
      <c r="K1" t="str">
        <f>Lv_xy!$B$22&amp;"_Black"</f>
        <v>_Black</v>
      </c>
      <c r="L1" t="str">
        <f>Lv_xy!$B$31&amp;"_White"</f>
        <v>_White</v>
      </c>
      <c r="M1" t="str">
        <f>Lv_xy!$B$31&amp;"_Red"</f>
        <v>_Red</v>
      </c>
      <c r="N1" t="str">
        <f>Lv_xy!$B$31&amp;"_Green"</f>
        <v>_Green</v>
      </c>
      <c r="O1" t="str">
        <f>Lv_xy!$B$31&amp;"_Blue"</f>
        <v>_Blue</v>
      </c>
      <c r="P1" t="str">
        <f>Lv_xy!$B$31&amp;"_Black"</f>
        <v>_Black</v>
      </c>
      <c r="Q1" t="str">
        <f>Lv_xy!$B$40&amp;"_White"</f>
        <v>_White</v>
      </c>
      <c r="R1" t="str">
        <f>Lv_xy!$B$40&amp;"_Red"</f>
        <v>_Red</v>
      </c>
      <c r="S1" t="str">
        <f>Lv_xy!$B$40&amp;"_Green"</f>
        <v>_Green</v>
      </c>
      <c r="T1" t="str">
        <f>Lv_xy!$B$40&amp;"_Blue"</f>
        <v>_Blue</v>
      </c>
      <c r="U1" t="str">
        <f>Lv_xy!$B$40&amp;"_Black"</f>
        <v>_Black</v>
      </c>
      <c r="V1" t="str">
        <f>Lv_xy!$B$49&amp;"_White"</f>
        <v>_White</v>
      </c>
      <c r="W1" t="str">
        <f>Lv_xy!$B$49&amp;"_Red"</f>
        <v>_Red</v>
      </c>
      <c r="X1" t="str">
        <f>Lv_xy!$B$49&amp;"_Green"</f>
        <v>_Green</v>
      </c>
      <c r="Y1" t="str">
        <f>Lv_xy!$B$49&amp;"_Blue"</f>
        <v>_Blue</v>
      </c>
      <c r="Z1" t="str">
        <f>Lv_xy!$B$49&amp;"_Black"</f>
        <v>_Black</v>
      </c>
      <c r="AA1" t="str">
        <f>Lv_xy!$B$58&amp;"_White"</f>
        <v>_White</v>
      </c>
      <c r="AB1" t="str">
        <f>Lv_xy!$B$58&amp;"_Red"</f>
        <v>_Red</v>
      </c>
      <c r="AC1" t="str">
        <f>Lv_xy!$B$58&amp;"_Green"</f>
        <v>_Green</v>
      </c>
      <c r="AD1" t="str">
        <f>Lv_xy!$B$58&amp;"_Blue"</f>
        <v>_Blue</v>
      </c>
      <c r="AE1" t="str">
        <f>Lv_xy!$B$58&amp;"_Black"</f>
        <v>_Black</v>
      </c>
    </row>
    <row r="2" spans="1:31">
      <c r="A2">
        <v>380</v>
      </c>
    </row>
    <row r="3" spans="1:31">
      <c r="A3">
        <v>381</v>
      </c>
    </row>
    <row r="4" spans="1:31">
      <c r="A4">
        <v>382</v>
      </c>
    </row>
    <row r="5" spans="1:31">
      <c r="A5">
        <v>383</v>
      </c>
    </row>
    <row r="6" spans="1:31">
      <c r="A6">
        <v>384</v>
      </c>
    </row>
    <row r="7" spans="1:31">
      <c r="A7">
        <v>385</v>
      </c>
    </row>
    <row r="8" spans="1:31">
      <c r="A8">
        <v>386</v>
      </c>
    </row>
    <row r="9" spans="1:31">
      <c r="A9">
        <v>387</v>
      </c>
    </row>
    <row r="10" spans="1:31">
      <c r="A10">
        <v>388</v>
      </c>
    </row>
    <row r="11" spans="1:31">
      <c r="A11">
        <v>389</v>
      </c>
    </row>
    <row r="12" spans="1:31">
      <c r="A12">
        <v>390</v>
      </c>
    </row>
    <row r="13" spans="1:31">
      <c r="A13">
        <v>391</v>
      </c>
    </row>
    <row r="14" spans="1:31">
      <c r="A14">
        <v>392</v>
      </c>
    </row>
    <row r="15" spans="1:31">
      <c r="A15">
        <v>393</v>
      </c>
    </row>
    <row r="16" spans="1:31">
      <c r="A16">
        <v>394</v>
      </c>
    </row>
    <row r="17" spans="1:1">
      <c r="A17">
        <v>395</v>
      </c>
    </row>
    <row r="18" spans="1:1">
      <c r="A18">
        <v>396</v>
      </c>
    </row>
    <row r="19" spans="1:1">
      <c r="A19">
        <v>397</v>
      </c>
    </row>
    <row r="20" spans="1:1">
      <c r="A20">
        <v>398</v>
      </c>
    </row>
    <row r="21" spans="1:1">
      <c r="A21">
        <v>399</v>
      </c>
    </row>
    <row r="22" spans="1:1">
      <c r="A22">
        <v>400</v>
      </c>
    </row>
    <row r="23" spans="1:1">
      <c r="A23">
        <v>401</v>
      </c>
    </row>
    <row r="24" spans="1:1">
      <c r="A24">
        <v>402</v>
      </c>
    </row>
    <row r="25" spans="1:1">
      <c r="A25">
        <v>403</v>
      </c>
    </row>
    <row r="26" spans="1:1">
      <c r="A26">
        <v>404</v>
      </c>
    </row>
    <row r="27" spans="1:1">
      <c r="A27">
        <v>405</v>
      </c>
    </row>
    <row r="28" spans="1:1">
      <c r="A28">
        <v>406</v>
      </c>
    </row>
    <row r="29" spans="1:1">
      <c r="A29">
        <v>407</v>
      </c>
    </row>
    <row r="30" spans="1:1">
      <c r="A30">
        <v>408</v>
      </c>
    </row>
    <row r="31" spans="1:1">
      <c r="A31">
        <v>409</v>
      </c>
    </row>
    <row r="32" spans="1:1">
      <c r="A32">
        <v>410</v>
      </c>
    </row>
    <row r="33" spans="1:1">
      <c r="A33">
        <v>411</v>
      </c>
    </row>
    <row r="34" spans="1:1">
      <c r="A34">
        <v>412</v>
      </c>
    </row>
    <row r="35" spans="1:1">
      <c r="A35">
        <v>413</v>
      </c>
    </row>
    <row r="36" spans="1:1">
      <c r="A36">
        <v>414</v>
      </c>
    </row>
    <row r="37" spans="1:1">
      <c r="A37">
        <v>415</v>
      </c>
    </row>
    <row r="38" spans="1:1">
      <c r="A38">
        <v>416</v>
      </c>
    </row>
    <row r="39" spans="1:1">
      <c r="A39">
        <v>417</v>
      </c>
    </row>
    <row r="40" spans="1:1">
      <c r="A40">
        <v>418</v>
      </c>
    </row>
    <row r="41" spans="1:1">
      <c r="A41">
        <v>419</v>
      </c>
    </row>
    <row r="42" spans="1:1">
      <c r="A42">
        <v>420</v>
      </c>
    </row>
    <row r="43" spans="1:1">
      <c r="A43">
        <v>421</v>
      </c>
    </row>
    <row r="44" spans="1:1">
      <c r="A44">
        <v>422</v>
      </c>
    </row>
    <row r="45" spans="1:1">
      <c r="A45">
        <v>423</v>
      </c>
    </row>
    <row r="46" spans="1:1">
      <c r="A46">
        <v>424</v>
      </c>
    </row>
    <row r="47" spans="1:1">
      <c r="A47">
        <v>425</v>
      </c>
    </row>
    <row r="48" spans="1:1">
      <c r="A48">
        <v>426</v>
      </c>
    </row>
    <row r="49" spans="1:1">
      <c r="A49">
        <v>427</v>
      </c>
    </row>
    <row r="50" spans="1:1">
      <c r="A50">
        <v>428</v>
      </c>
    </row>
    <row r="51" spans="1:1">
      <c r="A51">
        <v>429</v>
      </c>
    </row>
    <row r="52" spans="1:1">
      <c r="A52">
        <v>430</v>
      </c>
    </row>
    <row r="53" spans="1:1">
      <c r="A53">
        <v>431</v>
      </c>
    </row>
    <row r="54" spans="1:1">
      <c r="A54">
        <v>432</v>
      </c>
    </row>
    <row r="55" spans="1:1">
      <c r="A55">
        <v>433</v>
      </c>
    </row>
    <row r="56" spans="1:1">
      <c r="A56">
        <v>434</v>
      </c>
    </row>
    <row r="57" spans="1:1">
      <c r="A57">
        <v>435</v>
      </c>
    </row>
    <row r="58" spans="1:1">
      <c r="A58">
        <v>436</v>
      </c>
    </row>
    <row r="59" spans="1:1">
      <c r="A59">
        <v>437</v>
      </c>
    </row>
    <row r="60" spans="1:1">
      <c r="A60">
        <v>438</v>
      </c>
    </row>
    <row r="61" spans="1:1">
      <c r="A61">
        <v>439</v>
      </c>
    </row>
    <row r="62" spans="1:1">
      <c r="A62">
        <v>440</v>
      </c>
    </row>
    <row r="63" spans="1:1">
      <c r="A63">
        <v>441</v>
      </c>
    </row>
    <row r="64" spans="1:1">
      <c r="A64">
        <v>442</v>
      </c>
    </row>
    <row r="65" spans="1:1">
      <c r="A65">
        <v>443</v>
      </c>
    </row>
    <row r="66" spans="1:1">
      <c r="A66">
        <v>444</v>
      </c>
    </row>
    <row r="67" spans="1:1">
      <c r="A67">
        <v>445</v>
      </c>
    </row>
    <row r="68" spans="1:1">
      <c r="A68">
        <v>446</v>
      </c>
    </row>
    <row r="69" spans="1:1">
      <c r="A69">
        <v>447</v>
      </c>
    </row>
    <row r="70" spans="1:1">
      <c r="A70">
        <v>448</v>
      </c>
    </row>
    <row r="71" spans="1:1">
      <c r="A71">
        <v>449</v>
      </c>
    </row>
    <row r="72" spans="1:1">
      <c r="A72">
        <v>450</v>
      </c>
    </row>
    <row r="73" spans="1:1">
      <c r="A73">
        <v>451</v>
      </c>
    </row>
    <row r="74" spans="1:1">
      <c r="A74">
        <v>452</v>
      </c>
    </row>
    <row r="75" spans="1:1">
      <c r="A75">
        <v>453</v>
      </c>
    </row>
    <row r="76" spans="1:1">
      <c r="A76">
        <v>454</v>
      </c>
    </row>
    <row r="77" spans="1:1">
      <c r="A77">
        <v>455</v>
      </c>
    </row>
    <row r="78" spans="1:1">
      <c r="A78">
        <v>456</v>
      </c>
    </row>
    <row r="79" spans="1:1">
      <c r="A79">
        <v>457</v>
      </c>
    </row>
    <row r="80" spans="1:1">
      <c r="A80">
        <v>458</v>
      </c>
    </row>
    <row r="81" spans="1:1">
      <c r="A81">
        <v>459</v>
      </c>
    </row>
    <row r="82" spans="1:1">
      <c r="A82">
        <v>460</v>
      </c>
    </row>
    <row r="83" spans="1:1">
      <c r="A83">
        <v>461</v>
      </c>
    </row>
    <row r="84" spans="1:1">
      <c r="A84">
        <v>462</v>
      </c>
    </row>
    <row r="85" spans="1:1">
      <c r="A85">
        <v>463</v>
      </c>
    </row>
    <row r="86" spans="1:1">
      <c r="A86">
        <v>464</v>
      </c>
    </row>
    <row r="87" spans="1:1">
      <c r="A87">
        <v>465</v>
      </c>
    </row>
    <row r="88" spans="1:1">
      <c r="A88">
        <v>466</v>
      </c>
    </row>
    <row r="89" spans="1:1">
      <c r="A89">
        <v>467</v>
      </c>
    </row>
    <row r="90" spans="1:1">
      <c r="A90">
        <v>468</v>
      </c>
    </row>
    <row r="91" spans="1:1">
      <c r="A91">
        <v>469</v>
      </c>
    </row>
    <row r="92" spans="1:1">
      <c r="A92">
        <v>470</v>
      </c>
    </row>
    <row r="93" spans="1:1">
      <c r="A93">
        <v>471</v>
      </c>
    </row>
    <row r="94" spans="1:1">
      <c r="A94">
        <v>472</v>
      </c>
    </row>
    <row r="95" spans="1:1">
      <c r="A95">
        <v>473</v>
      </c>
    </row>
    <row r="96" spans="1:1">
      <c r="A96">
        <v>474</v>
      </c>
    </row>
    <row r="97" spans="1:1">
      <c r="A97">
        <v>475</v>
      </c>
    </row>
    <row r="98" spans="1:1">
      <c r="A98">
        <v>476</v>
      </c>
    </row>
    <row r="99" spans="1:1">
      <c r="A99">
        <v>477</v>
      </c>
    </row>
    <row r="100" spans="1:1">
      <c r="A100">
        <v>478</v>
      </c>
    </row>
    <row r="101" spans="1:1">
      <c r="A101">
        <v>479</v>
      </c>
    </row>
    <row r="102" spans="1:1">
      <c r="A102">
        <v>480</v>
      </c>
    </row>
    <row r="103" spans="1:1">
      <c r="A103">
        <v>481</v>
      </c>
    </row>
    <row r="104" spans="1:1">
      <c r="A104">
        <v>482</v>
      </c>
    </row>
    <row r="105" spans="1:1">
      <c r="A105">
        <v>483</v>
      </c>
    </row>
    <row r="106" spans="1:1">
      <c r="A106">
        <v>484</v>
      </c>
    </row>
    <row r="107" spans="1:1">
      <c r="A107">
        <v>485</v>
      </c>
    </row>
    <row r="108" spans="1:1">
      <c r="A108">
        <v>486</v>
      </c>
    </row>
    <row r="109" spans="1:1">
      <c r="A109">
        <v>487</v>
      </c>
    </row>
    <row r="110" spans="1:1">
      <c r="A110">
        <v>488</v>
      </c>
    </row>
    <row r="111" spans="1:1">
      <c r="A111">
        <v>489</v>
      </c>
    </row>
    <row r="112" spans="1:1">
      <c r="A112">
        <v>490</v>
      </c>
    </row>
    <row r="113" spans="1:1">
      <c r="A113">
        <v>491</v>
      </c>
    </row>
    <row r="114" spans="1:1">
      <c r="A114">
        <v>492</v>
      </c>
    </row>
    <row r="115" spans="1:1">
      <c r="A115">
        <v>493</v>
      </c>
    </row>
    <row r="116" spans="1:1">
      <c r="A116">
        <v>494</v>
      </c>
    </row>
    <row r="117" spans="1:1">
      <c r="A117">
        <v>495</v>
      </c>
    </row>
    <row r="118" spans="1:1">
      <c r="A118">
        <v>496</v>
      </c>
    </row>
    <row r="119" spans="1:1">
      <c r="A119">
        <v>497</v>
      </c>
    </row>
    <row r="120" spans="1:1">
      <c r="A120">
        <v>498</v>
      </c>
    </row>
    <row r="121" spans="1:1">
      <c r="A121">
        <v>499</v>
      </c>
    </row>
    <row r="122" spans="1:1">
      <c r="A122">
        <v>500</v>
      </c>
    </row>
    <row r="123" spans="1:1">
      <c r="A123">
        <v>501</v>
      </c>
    </row>
    <row r="124" spans="1:1">
      <c r="A124">
        <v>502</v>
      </c>
    </row>
    <row r="125" spans="1:1">
      <c r="A125">
        <v>503</v>
      </c>
    </row>
    <row r="126" spans="1:1">
      <c r="A126">
        <v>504</v>
      </c>
    </row>
    <row r="127" spans="1:1">
      <c r="A127">
        <v>505</v>
      </c>
    </row>
    <row r="128" spans="1:1">
      <c r="A128">
        <v>506</v>
      </c>
    </row>
    <row r="129" spans="1:1">
      <c r="A129">
        <v>507</v>
      </c>
    </row>
    <row r="130" spans="1:1">
      <c r="A130">
        <v>508</v>
      </c>
    </row>
    <row r="131" spans="1:1">
      <c r="A131">
        <v>509</v>
      </c>
    </row>
    <row r="132" spans="1:1">
      <c r="A132">
        <v>510</v>
      </c>
    </row>
    <row r="133" spans="1:1">
      <c r="A133">
        <v>511</v>
      </c>
    </row>
    <row r="134" spans="1:1">
      <c r="A134">
        <v>512</v>
      </c>
    </row>
    <row r="135" spans="1:1">
      <c r="A135">
        <v>513</v>
      </c>
    </row>
    <row r="136" spans="1:1">
      <c r="A136">
        <v>514</v>
      </c>
    </row>
    <row r="137" spans="1:1">
      <c r="A137">
        <v>515</v>
      </c>
    </row>
    <row r="138" spans="1:1">
      <c r="A138">
        <v>516</v>
      </c>
    </row>
    <row r="139" spans="1:1">
      <c r="A139">
        <v>517</v>
      </c>
    </row>
    <row r="140" spans="1:1">
      <c r="A140">
        <v>518</v>
      </c>
    </row>
    <row r="141" spans="1:1">
      <c r="A141">
        <v>519</v>
      </c>
    </row>
    <row r="142" spans="1:1">
      <c r="A142">
        <v>520</v>
      </c>
    </row>
    <row r="143" spans="1:1">
      <c r="A143">
        <v>521</v>
      </c>
    </row>
    <row r="144" spans="1:1">
      <c r="A144">
        <v>522</v>
      </c>
    </row>
    <row r="145" spans="1:1">
      <c r="A145">
        <v>523</v>
      </c>
    </row>
    <row r="146" spans="1:1">
      <c r="A146">
        <v>524</v>
      </c>
    </row>
    <row r="147" spans="1:1">
      <c r="A147">
        <v>525</v>
      </c>
    </row>
    <row r="148" spans="1:1">
      <c r="A148">
        <v>526</v>
      </c>
    </row>
    <row r="149" spans="1:1">
      <c r="A149">
        <v>527</v>
      </c>
    </row>
    <row r="150" spans="1:1">
      <c r="A150">
        <v>528</v>
      </c>
    </row>
    <row r="151" spans="1:1">
      <c r="A151">
        <v>529</v>
      </c>
    </row>
    <row r="152" spans="1:1">
      <c r="A152">
        <v>530</v>
      </c>
    </row>
    <row r="153" spans="1:1">
      <c r="A153">
        <v>531</v>
      </c>
    </row>
    <row r="154" spans="1:1">
      <c r="A154">
        <v>532</v>
      </c>
    </row>
    <row r="155" spans="1:1">
      <c r="A155">
        <v>533</v>
      </c>
    </row>
    <row r="156" spans="1:1">
      <c r="A156">
        <v>534</v>
      </c>
    </row>
    <row r="157" spans="1:1">
      <c r="A157">
        <v>535</v>
      </c>
    </row>
    <row r="158" spans="1:1">
      <c r="A158">
        <v>536</v>
      </c>
    </row>
    <row r="159" spans="1:1">
      <c r="A159">
        <v>537</v>
      </c>
    </row>
    <row r="160" spans="1:1">
      <c r="A160">
        <v>538</v>
      </c>
    </row>
    <row r="161" spans="1:1">
      <c r="A161">
        <v>539</v>
      </c>
    </row>
    <row r="162" spans="1:1">
      <c r="A162">
        <v>540</v>
      </c>
    </row>
    <row r="163" spans="1:1">
      <c r="A163">
        <v>541</v>
      </c>
    </row>
    <row r="164" spans="1:1">
      <c r="A164">
        <v>542</v>
      </c>
    </row>
    <row r="165" spans="1:1">
      <c r="A165">
        <v>543</v>
      </c>
    </row>
    <row r="166" spans="1:1">
      <c r="A166">
        <v>544</v>
      </c>
    </row>
    <row r="167" spans="1:1">
      <c r="A167">
        <v>545</v>
      </c>
    </row>
    <row r="168" spans="1:1">
      <c r="A168">
        <v>546</v>
      </c>
    </row>
    <row r="169" spans="1:1">
      <c r="A169">
        <v>547</v>
      </c>
    </row>
    <row r="170" spans="1:1">
      <c r="A170">
        <v>548</v>
      </c>
    </row>
    <row r="171" spans="1:1">
      <c r="A171">
        <v>549</v>
      </c>
    </row>
    <row r="172" spans="1:1">
      <c r="A172">
        <v>550</v>
      </c>
    </row>
    <row r="173" spans="1:1">
      <c r="A173">
        <v>551</v>
      </c>
    </row>
    <row r="174" spans="1:1">
      <c r="A174">
        <v>552</v>
      </c>
    </row>
    <row r="175" spans="1:1">
      <c r="A175">
        <v>553</v>
      </c>
    </row>
    <row r="176" spans="1:1">
      <c r="A176">
        <v>554</v>
      </c>
    </row>
    <row r="177" spans="1:1">
      <c r="A177">
        <v>555</v>
      </c>
    </row>
    <row r="178" spans="1:1">
      <c r="A178">
        <v>556</v>
      </c>
    </row>
    <row r="179" spans="1:1">
      <c r="A179">
        <v>557</v>
      </c>
    </row>
    <row r="180" spans="1:1">
      <c r="A180">
        <v>558</v>
      </c>
    </row>
    <row r="181" spans="1:1">
      <c r="A181">
        <v>559</v>
      </c>
    </row>
    <row r="182" spans="1:1">
      <c r="A182">
        <v>560</v>
      </c>
    </row>
    <row r="183" spans="1:1">
      <c r="A183">
        <v>561</v>
      </c>
    </row>
    <row r="184" spans="1:1">
      <c r="A184">
        <v>562</v>
      </c>
    </row>
    <row r="185" spans="1:1">
      <c r="A185">
        <v>563</v>
      </c>
    </row>
    <row r="186" spans="1:1">
      <c r="A186">
        <v>564</v>
      </c>
    </row>
    <row r="187" spans="1:1">
      <c r="A187">
        <v>565</v>
      </c>
    </row>
    <row r="188" spans="1:1">
      <c r="A188">
        <v>566</v>
      </c>
    </row>
    <row r="189" spans="1:1">
      <c r="A189">
        <v>567</v>
      </c>
    </row>
    <row r="190" spans="1:1">
      <c r="A190">
        <v>568</v>
      </c>
    </row>
    <row r="191" spans="1:1">
      <c r="A191">
        <v>569</v>
      </c>
    </row>
    <row r="192" spans="1:1">
      <c r="A192">
        <v>570</v>
      </c>
    </row>
    <row r="193" spans="1:1">
      <c r="A193">
        <v>571</v>
      </c>
    </row>
    <row r="194" spans="1:1">
      <c r="A194">
        <v>572</v>
      </c>
    </row>
    <row r="195" spans="1:1">
      <c r="A195">
        <v>573</v>
      </c>
    </row>
    <row r="196" spans="1:1">
      <c r="A196">
        <v>574</v>
      </c>
    </row>
    <row r="197" spans="1:1">
      <c r="A197">
        <v>575</v>
      </c>
    </row>
    <row r="198" spans="1:1">
      <c r="A198">
        <v>576</v>
      </c>
    </row>
    <row r="199" spans="1:1">
      <c r="A199">
        <v>577</v>
      </c>
    </row>
    <row r="200" spans="1:1">
      <c r="A200">
        <v>578</v>
      </c>
    </row>
    <row r="201" spans="1:1">
      <c r="A201">
        <v>579</v>
      </c>
    </row>
    <row r="202" spans="1:1">
      <c r="A202">
        <v>580</v>
      </c>
    </row>
    <row r="203" spans="1:1">
      <c r="A203">
        <v>581</v>
      </c>
    </row>
    <row r="204" spans="1:1">
      <c r="A204">
        <v>582</v>
      </c>
    </row>
    <row r="205" spans="1:1">
      <c r="A205">
        <v>583</v>
      </c>
    </row>
    <row r="206" spans="1:1">
      <c r="A206">
        <v>584</v>
      </c>
    </row>
    <row r="207" spans="1:1">
      <c r="A207">
        <v>585</v>
      </c>
    </row>
    <row r="208" spans="1:1">
      <c r="A208">
        <v>586</v>
      </c>
    </row>
    <row r="209" spans="1:1">
      <c r="A209">
        <v>587</v>
      </c>
    </row>
    <row r="210" spans="1:1">
      <c r="A210">
        <v>588</v>
      </c>
    </row>
    <row r="211" spans="1:1">
      <c r="A211">
        <v>589</v>
      </c>
    </row>
    <row r="212" spans="1:1">
      <c r="A212">
        <v>590</v>
      </c>
    </row>
    <row r="213" spans="1:1">
      <c r="A213">
        <v>591</v>
      </c>
    </row>
    <row r="214" spans="1:1">
      <c r="A214">
        <v>592</v>
      </c>
    </row>
    <row r="215" spans="1:1">
      <c r="A215">
        <v>593</v>
      </c>
    </row>
    <row r="216" spans="1:1">
      <c r="A216">
        <v>594</v>
      </c>
    </row>
    <row r="217" spans="1:1">
      <c r="A217">
        <v>595</v>
      </c>
    </row>
    <row r="218" spans="1:1">
      <c r="A218">
        <v>596</v>
      </c>
    </row>
    <row r="219" spans="1:1">
      <c r="A219">
        <v>597</v>
      </c>
    </row>
    <row r="220" spans="1:1">
      <c r="A220">
        <v>598</v>
      </c>
    </row>
    <row r="221" spans="1:1">
      <c r="A221">
        <v>599</v>
      </c>
    </row>
    <row r="222" spans="1:1">
      <c r="A222">
        <v>600</v>
      </c>
    </row>
    <row r="223" spans="1:1">
      <c r="A223">
        <v>601</v>
      </c>
    </row>
    <row r="224" spans="1:1">
      <c r="A224">
        <v>602</v>
      </c>
    </row>
    <row r="225" spans="1:1">
      <c r="A225">
        <v>603</v>
      </c>
    </row>
    <row r="226" spans="1:1">
      <c r="A226">
        <v>604</v>
      </c>
    </row>
    <row r="227" spans="1:1">
      <c r="A227">
        <v>605</v>
      </c>
    </row>
    <row r="228" spans="1:1">
      <c r="A228">
        <v>606</v>
      </c>
    </row>
    <row r="229" spans="1:1">
      <c r="A229">
        <v>607</v>
      </c>
    </row>
    <row r="230" spans="1:1">
      <c r="A230">
        <v>608</v>
      </c>
    </row>
    <row r="231" spans="1:1">
      <c r="A231">
        <v>609</v>
      </c>
    </row>
    <row r="232" spans="1:1">
      <c r="A232">
        <v>610</v>
      </c>
    </row>
    <row r="233" spans="1:1">
      <c r="A233">
        <v>611</v>
      </c>
    </row>
    <row r="234" spans="1:1">
      <c r="A234">
        <v>612</v>
      </c>
    </row>
    <row r="235" spans="1:1">
      <c r="A235">
        <v>613</v>
      </c>
    </row>
    <row r="236" spans="1:1">
      <c r="A236">
        <v>614</v>
      </c>
    </row>
    <row r="237" spans="1:1">
      <c r="A237">
        <v>615</v>
      </c>
    </row>
    <row r="238" spans="1:1">
      <c r="A238">
        <v>616</v>
      </c>
    </row>
    <row r="239" spans="1:1">
      <c r="A239">
        <v>617</v>
      </c>
    </row>
    <row r="240" spans="1:1">
      <c r="A240">
        <v>618</v>
      </c>
    </row>
    <row r="241" spans="1:1">
      <c r="A241">
        <v>619</v>
      </c>
    </row>
    <row r="242" spans="1:1">
      <c r="A242">
        <v>620</v>
      </c>
    </row>
    <row r="243" spans="1:1">
      <c r="A243">
        <v>621</v>
      </c>
    </row>
    <row r="244" spans="1:1">
      <c r="A244">
        <v>622</v>
      </c>
    </row>
    <row r="245" spans="1:1">
      <c r="A245">
        <v>623</v>
      </c>
    </row>
    <row r="246" spans="1:1">
      <c r="A246">
        <v>624</v>
      </c>
    </row>
    <row r="247" spans="1:1">
      <c r="A247">
        <v>625</v>
      </c>
    </row>
    <row r="248" spans="1:1">
      <c r="A248">
        <v>626</v>
      </c>
    </row>
    <row r="249" spans="1:1">
      <c r="A249">
        <v>627</v>
      </c>
    </row>
    <row r="250" spans="1:1">
      <c r="A250">
        <v>628</v>
      </c>
    </row>
    <row r="251" spans="1:1">
      <c r="A251">
        <v>629</v>
      </c>
    </row>
    <row r="252" spans="1:1">
      <c r="A252">
        <v>630</v>
      </c>
    </row>
    <row r="253" spans="1:1">
      <c r="A253">
        <v>631</v>
      </c>
    </row>
    <row r="254" spans="1:1">
      <c r="A254">
        <v>632</v>
      </c>
    </row>
    <row r="255" spans="1:1">
      <c r="A255">
        <v>633</v>
      </c>
    </row>
    <row r="256" spans="1:1">
      <c r="A256">
        <v>634</v>
      </c>
    </row>
    <row r="257" spans="1:1">
      <c r="A257">
        <v>635</v>
      </c>
    </row>
    <row r="258" spans="1:1">
      <c r="A258">
        <v>636</v>
      </c>
    </row>
    <row r="259" spans="1:1">
      <c r="A259">
        <v>637</v>
      </c>
    </row>
    <row r="260" spans="1:1">
      <c r="A260">
        <v>638</v>
      </c>
    </row>
    <row r="261" spans="1:1">
      <c r="A261">
        <v>639</v>
      </c>
    </row>
    <row r="262" spans="1:1">
      <c r="A262">
        <v>640</v>
      </c>
    </row>
    <row r="263" spans="1:1">
      <c r="A263">
        <v>641</v>
      </c>
    </row>
    <row r="264" spans="1:1">
      <c r="A264">
        <v>642</v>
      </c>
    </row>
    <row r="265" spans="1:1">
      <c r="A265">
        <v>643</v>
      </c>
    </row>
    <row r="266" spans="1:1">
      <c r="A266">
        <v>644</v>
      </c>
    </row>
    <row r="267" spans="1:1">
      <c r="A267">
        <v>645</v>
      </c>
    </row>
    <row r="268" spans="1:1">
      <c r="A268">
        <v>646</v>
      </c>
    </row>
    <row r="269" spans="1:1">
      <c r="A269">
        <v>647</v>
      </c>
    </row>
    <row r="270" spans="1:1">
      <c r="A270">
        <v>648</v>
      </c>
    </row>
    <row r="271" spans="1:1">
      <c r="A271">
        <v>649</v>
      </c>
    </row>
    <row r="272" spans="1:1">
      <c r="A272">
        <v>650</v>
      </c>
    </row>
    <row r="273" spans="1:1">
      <c r="A273">
        <v>651</v>
      </c>
    </row>
    <row r="274" spans="1:1">
      <c r="A274">
        <v>652</v>
      </c>
    </row>
    <row r="275" spans="1:1">
      <c r="A275">
        <v>653</v>
      </c>
    </row>
    <row r="276" spans="1:1">
      <c r="A276">
        <v>654</v>
      </c>
    </row>
    <row r="277" spans="1:1">
      <c r="A277">
        <v>655</v>
      </c>
    </row>
    <row r="278" spans="1:1">
      <c r="A278">
        <v>656</v>
      </c>
    </row>
    <row r="279" spans="1:1">
      <c r="A279">
        <v>657</v>
      </c>
    </row>
    <row r="280" spans="1:1">
      <c r="A280">
        <v>658</v>
      </c>
    </row>
    <row r="281" spans="1:1">
      <c r="A281">
        <v>659</v>
      </c>
    </row>
    <row r="282" spans="1:1">
      <c r="A282">
        <v>660</v>
      </c>
    </row>
    <row r="283" spans="1:1">
      <c r="A283">
        <v>661</v>
      </c>
    </row>
    <row r="284" spans="1:1">
      <c r="A284">
        <v>662</v>
      </c>
    </row>
    <row r="285" spans="1:1">
      <c r="A285">
        <v>663</v>
      </c>
    </row>
    <row r="286" spans="1:1">
      <c r="A286">
        <v>664</v>
      </c>
    </row>
    <row r="287" spans="1:1">
      <c r="A287">
        <v>665</v>
      </c>
    </row>
    <row r="288" spans="1:1">
      <c r="A288">
        <v>666</v>
      </c>
    </row>
    <row r="289" spans="1:1">
      <c r="A289">
        <v>667</v>
      </c>
    </row>
    <row r="290" spans="1:1">
      <c r="A290">
        <v>668</v>
      </c>
    </row>
    <row r="291" spans="1:1">
      <c r="A291">
        <v>669</v>
      </c>
    </row>
    <row r="292" spans="1:1">
      <c r="A292">
        <v>670</v>
      </c>
    </row>
    <row r="293" spans="1:1">
      <c r="A293">
        <v>671</v>
      </c>
    </row>
    <row r="294" spans="1:1">
      <c r="A294">
        <v>672</v>
      </c>
    </row>
    <row r="295" spans="1:1">
      <c r="A295">
        <v>673</v>
      </c>
    </row>
    <row r="296" spans="1:1">
      <c r="A296">
        <v>674</v>
      </c>
    </row>
    <row r="297" spans="1:1">
      <c r="A297">
        <v>675</v>
      </c>
    </row>
    <row r="298" spans="1:1">
      <c r="A298">
        <v>676</v>
      </c>
    </row>
    <row r="299" spans="1:1">
      <c r="A299">
        <v>677</v>
      </c>
    </row>
    <row r="300" spans="1:1">
      <c r="A300">
        <v>678</v>
      </c>
    </row>
    <row r="301" spans="1:1">
      <c r="A301">
        <v>679</v>
      </c>
    </row>
    <row r="302" spans="1:1">
      <c r="A302">
        <v>680</v>
      </c>
    </row>
    <row r="303" spans="1:1">
      <c r="A303">
        <v>681</v>
      </c>
    </row>
    <row r="304" spans="1:1">
      <c r="A304">
        <v>682</v>
      </c>
    </row>
    <row r="305" spans="1:1">
      <c r="A305">
        <v>683</v>
      </c>
    </row>
    <row r="306" spans="1:1">
      <c r="A306">
        <v>684</v>
      </c>
    </row>
    <row r="307" spans="1:1">
      <c r="A307">
        <v>685</v>
      </c>
    </row>
    <row r="308" spans="1:1">
      <c r="A308">
        <v>686</v>
      </c>
    </row>
    <row r="309" spans="1:1">
      <c r="A309">
        <v>687</v>
      </c>
    </row>
    <row r="310" spans="1:1">
      <c r="A310">
        <v>688</v>
      </c>
    </row>
    <row r="311" spans="1:1">
      <c r="A311">
        <v>689</v>
      </c>
    </row>
    <row r="312" spans="1:1">
      <c r="A312">
        <v>690</v>
      </c>
    </row>
    <row r="313" spans="1:1">
      <c r="A313">
        <v>691</v>
      </c>
    </row>
    <row r="314" spans="1:1">
      <c r="A314">
        <v>692</v>
      </c>
    </row>
    <row r="315" spans="1:1">
      <c r="A315">
        <v>693</v>
      </c>
    </row>
    <row r="316" spans="1:1">
      <c r="A316">
        <v>694</v>
      </c>
    </row>
    <row r="317" spans="1:1">
      <c r="A317">
        <v>695</v>
      </c>
    </row>
    <row r="318" spans="1:1">
      <c r="A318">
        <v>696</v>
      </c>
    </row>
    <row r="319" spans="1:1">
      <c r="A319">
        <v>697</v>
      </c>
    </row>
    <row r="320" spans="1:1">
      <c r="A320">
        <v>698</v>
      </c>
    </row>
    <row r="321" spans="1:1">
      <c r="A321">
        <v>699</v>
      </c>
    </row>
    <row r="322" spans="1:1">
      <c r="A322">
        <v>700</v>
      </c>
    </row>
    <row r="323" spans="1:1">
      <c r="A323">
        <v>701</v>
      </c>
    </row>
    <row r="324" spans="1:1">
      <c r="A324">
        <v>702</v>
      </c>
    </row>
    <row r="325" spans="1:1">
      <c r="A325">
        <v>703</v>
      </c>
    </row>
    <row r="326" spans="1:1">
      <c r="A326">
        <v>704</v>
      </c>
    </row>
    <row r="327" spans="1:1">
      <c r="A327">
        <v>705</v>
      </c>
    </row>
    <row r="328" spans="1:1">
      <c r="A328">
        <v>706</v>
      </c>
    </row>
    <row r="329" spans="1:1">
      <c r="A329">
        <v>707</v>
      </c>
    </row>
    <row r="330" spans="1:1">
      <c r="A330">
        <v>708</v>
      </c>
    </row>
    <row r="331" spans="1:1">
      <c r="A331">
        <v>709</v>
      </c>
    </row>
    <row r="332" spans="1:1">
      <c r="A332">
        <v>710</v>
      </c>
    </row>
    <row r="333" spans="1:1">
      <c r="A333">
        <v>711</v>
      </c>
    </row>
    <row r="334" spans="1:1">
      <c r="A334">
        <v>712</v>
      </c>
    </row>
    <row r="335" spans="1:1">
      <c r="A335">
        <v>713</v>
      </c>
    </row>
    <row r="336" spans="1:1">
      <c r="A336">
        <v>714</v>
      </c>
    </row>
    <row r="337" spans="1:1">
      <c r="A337">
        <v>715</v>
      </c>
    </row>
    <row r="338" spans="1:1">
      <c r="A338">
        <v>716</v>
      </c>
    </row>
    <row r="339" spans="1:1">
      <c r="A339">
        <v>717</v>
      </c>
    </row>
    <row r="340" spans="1:1">
      <c r="A340">
        <v>718</v>
      </c>
    </row>
    <row r="341" spans="1:1">
      <c r="A341">
        <v>719</v>
      </c>
    </row>
    <row r="342" spans="1:1">
      <c r="A342">
        <v>720</v>
      </c>
    </row>
    <row r="343" spans="1:1">
      <c r="A343">
        <v>721</v>
      </c>
    </row>
    <row r="344" spans="1:1">
      <c r="A344">
        <v>722</v>
      </c>
    </row>
    <row r="345" spans="1:1">
      <c r="A345">
        <v>723</v>
      </c>
    </row>
    <row r="346" spans="1:1">
      <c r="A346">
        <v>724</v>
      </c>
    </row>
    <row r="347" spans="1:1">
      <c r="A347">
        <v>725</v>
      </c>
    </row>
    <row r="348" spans="1:1">
      <c r="A348">
        <v>726</v>
      </c>
    </row>
    <row r="349" spans="1:1">
      <c r="A349">
        <v>727</v>
      </c>
    </row>
    <row r="350" spans="1:1">
      <c r="A350">
        <v>728</v>
      </c>
    </row>
    <row r="351" spans="1:1">
      <c r="A351">
        <v>729</v>
      </c>
    </row>
    <row r="352" spans="1:1">
      <c r="A352">
        <v>730</v>
      </c>
    </row>
    <row r="353" spans="1:1">
      <c r="A353">
        <v>731</v>
      </c>
    </row>
    <row r="354" spans="1:1">
      <c r="A354">
        <v>732</v>
      </c>
    </row>
    <row r="355" spans="1:1">
      <c r="A355">
        <v>733</v>
      </c>
    </row>
    <row r="356" spans="1:1">
      <c r="A356">
        <v>734</v>
      </c>
    </row>
    <row r="357" spans="1:1">
      <c r="A357">
        <v>735</v>
      </c>
    </row>
    <row r="358" spans="1:1">
      <c r="A358">
        <v>736</v>
      </c>
    </row>
    <row r="359" spans="1:1">
      <c r="A359">
        <v>737</v>
      </c>
    </row>
    <row r="360" spans="1:1">
      <c r="A360">
        <v>738</v>
      </c>
    </row>
    <row r="361" spans="1:1">
      <c r="A361">
        <v>739</v>
      </c>
    </row>
    <row r="362" spans="1:1">
      <c r="A362">
        <v>740</v>
      </c>
    </row>
    <row r="363" spans="1:1">
      <c r="A363">
        <v>741</v>
      </c>
    </row>
    <row r="364" spans="1:1">
      <c r="A364">
        <v>742</v>
      </c>
    </row>
    <row r="365" spans="1:1">
      <c r="A365">
        <v>743</v>
      </c>
    </row>
    <row r="366" spans="1:1">
      <c r="A366">
        <v>744</v>
      </c>
    </row>
    <row r="367" spans="1:1">
      <c r="A367">
        <v>745</v>
      </c>
    </row>
    <row r="368" spans="1:1">
      <c r="A368">
        <v>746</v>
      </c>
    </row>
    <row r="369" spans="1:1">
      <c r="A369">
        <v>747</v>
      </c>
    </row>
    <row r="370" spans="1:1">
      <c r="A370">
        <v>748</v>
      </c>
    </row>
    <row r="371" spans="1:1">
      <c r="A371">
        <v>749</v>
      </c>
    </row>
    <row r="372" spans="1:1">
      <c r="A372">
        <v>750</v>
      </c>
    </row>
    <row r="373" spans="1:1">
      <c r="A373">
        <v>751</v>
      </c>
    </row>
    <row r="374" spans="1:1">
      <c r="A374">
        <v>752</v>
      </c>
    </row>
    <row r="375" spans="1:1">
      <c r="A375">
        <v>753</v>
      </c>
    </row>
    <row r="376" spans="1:1">
      <c r="A376">
        <v>754</v>
      </c>
    </row>
    <row r="377" spans="1:1">
      <c r="A377">
        <v>755</v>
      </c>
    </row>
    <row r="378" spans="1:1">
      <c r="A378">
        <v>756</v>
      </c>
    </row>
    <row r="379" spans="1:1">
      <c r="A379">
        <v>757</v>
      </c>
    </row>
    <row r="380" spans="1:1">
      <c r="A380">
        <v>758</v>
      </c>
    </row>
    <row r="381" spans="1:1">
      <c r="A381">
        <v>759</v>
      </c>
    </row>
    <row r="382" spans="1:1">
      <c r="A382">
        <v>760</v>
      </c>
    </row>
    <row r="383" spans="1:1">
      <c r="A383">
        <v>761</v>
      </c>
    </row>
    <row r="384" spans="1:1">
      <c r="A384">
        <v>762</v>
      </c>
    </row>
    <row r="385" spans="1:1">
      <c r="A385">
        <v>763</v>
      </c>
    </row>
    <row r="386" spans="1:1">
      <c r="A386">
        <v>764</v>
      </c>
    </row>
    <row r="387" spans="1:1">
      <c r="A387">
        <v>765</v>
      </c>
    </row>
    <row r="388" spans="1:1">
      <c r="A388">
        <v>766</v>
      </c>
    </row>
    <row r="389" spans="1:1">
      <c r="A389">
        <v>767</v>
      </c>
    </row>
    <row r="390" spans="1:1">
      <c r="A390">
        <v>768</v>
      </c>
    </row>
    <row r="391" spans="1:1">
      <c r="A391">
        <v>769</v>
      </c>
    </row>
    <row r="392" spans="1:1">
      <c r="A392">
        <v>770</v>
      </c>
    </row>
    <row r="393" spans="1:1">
      <c r="A393">
        <v>771</v>
      </c>
    </row>
    <row r="394" spans="1:1">
      <c r="A394">
        <v>772</v>
      </c>
    </row>
    <row r="395" spans="1:1">
      <c r="A395">
        <v>773</v>
      </c>
    </row>
    <row r="396" spans="1:1">
      <c r="A396">
        <v>774</v>
      </c>
    </row>
    <row r="397" spans="1:1">
      <c r="A397">
        <v>775</v>
      </c>
    </row>
    <row r="398" spans="1:1">
      <c r="A398">
        <v>776</v>
      </c>
    </row>
    <row r="399" spans="1:1">
      <c r="A399">
        <v>777</v>
      </c>
    </row>
    <row r="400" spans="1:1">
      <c r="A400">
        <v>778</v>
      </c>
    </row>
    <row r="401" spans="1:1">
      <c r="A401">
        <v>779</v>
      </c>
    </row>
    <row r="402" spans="1:1">
      <c r="A402">
        <v>780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Lv_xy</vt:lpstr>
      <vt:lpstr>Report</vt:lpstr>
      <vt:lpstr>Spectrum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0000890188</dc:creator>
  <cp:lastModifiedBy>admin panel-Design</cp:lastModifiedBy>
  <dcterms:created xsi:type="dcterms:W3CDTF">2012-04-12T06:37:17Z</dcterms:created>
  <dcterms:modified xsi:type="dcterms:W3CDTF">2020-05-22T01:55:13Z</dcterms:modified>
</cp:coreProperties>
</file>