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40" yWindow="165" windowWidth="7500" windowHeight="4890"/>
  </bookViews>
  <sheets>
    <sheet name="row data" sheetId="3" r:id="rId1"/>
  </sheets>
  <calcPr calcId="144525"/>
</workbook>
</file>

<file path=xl/calcChain.xml><?xml version="1.0" encoding="utf-8"?>
<calcChain xmlns="http://schemas.openxmlformats.org/spreadsheetml/2006/main">
  <c r="R7" i="3" l="1"/>
  <c r="R29" i="3" l="1"/>
  <c r="D6" i="3" l="1"/>
  <c r="D7" i="3"/>
  <c r="D8" i="3"/>
  <c r="D9" i="3"/>
  <c r="D10" i="3"/>
  <c r="D11" i="3"/>
  <c r="D12" i="3"/>
  <c r="D13" i="3"/>
  <c r="D14" i="3"/>
  <c r="D15" i="3"/>
  <c r="D16" i="3"/>
  <c r="D18" i="3"/>
  <c r="D19" i="3"/>
  <c r="D20" i="3"/>
  <c r="D21" i="3"/>
  <c r="D22" i="3"/>
  <c r="D23" i="3"/>
  <c r="D24" i="3"/>
  <c r="D25" i="3"/>
  <c r="D26" i="3"/>
  <c r="D27" i="3"/>
  <c r="D28" i="3"/>
  <c r="D29" i="3"/>
  <c r="D17" i="3"/>
  <c r="R27" i="3"/>
  <c r="R8" i="3"/>
  <c r="R9" i="3"/>
  <c r="R10" i="3"/>
  <c r="R11" i="3"/>
  <c r="R12" i="3"/>
  <c r="R13" i="3"/>
  <c r="R14" i="3"/>
  <c r="R15" i="3"/>
  <c r="R16" i="3"/>
  <c r="R17" i="3"/>
  <c r="R6" i="3"/>
  <c r="R19" i="3"/>
  <c r="R20" i="3"/>
  <c r="R21" i="3"/>
  <c r="R22" i="3"/>
  <c r="R23" i="3"/>
  <c r="R24" i="3"/>
  <c r="R25" i="3"/>
  <c r="R26" i="3"/>
  <c r="R28" i="3"/>
  <c r="R18" i="3"/>
  <c r="Q3" i="3"/>
  <c r="C3" i="3"/>
  <c r="Q4" i="3" l="1"/>
  <c r="C4" i="3"/>
</calcChain>
</file>

<file path=xl/sharedStrings.xml><?xml version="1.0" encoding="utf-8"?>
<sst xmlns="http://schemas.openxmlformats.org/spreadsheetml/2006/main" count="8" uniqueCount="5">
  <si>
    <t>CU55</t>
  </si>
  <si>
    <t>SL75 Inhouse DPOP</t>
  </si>
  <si>
    <t>Pmod:</t>
  </si>
  <si>
    <t>V/A:</t>
  </si>
  <si>
    <t>Result: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</si>
</sst>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9" fontId="2" fillId="0" borderId="0" xfId="0" applyNumberFormat="1" applyFont="1"/>
    <xf numFmtId="10" fontId="2" fillId="0" borderId="0" xfId="0" applyNumberFormat="1" applyFont="1"/>
    <xf numFmtId="10" fontId="2" fillId="0" borderId="0" xfId="0" applyNumberFormat="1" applyFont="1" applyAlignment="1">
      <alignment horizontal="left"/>
    </xf>
    <xf numFmtId="0" fontId="2" fillId="0" borderId="0" xfId="0" applyNumberFormat="1" applyFont="1"/>
    <xf numFmtId="0" fontId="2" fillId="0" borderId="1" xfId="0" applyFont="1" applyBorder="1" applyAlignment="1">
      <alignment horizontal="left"/>
    </xf>
    <xf numFmtId="10" fontId="2" fillId="0" borderId="1" xfId="0" applyNumberFormat="1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80952380952382E-2"/>
          <c:y val="0.17518399855190514"/>
          <c:w val="0.77261646981627286"/>
          <c:h val="0.7096359851570277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'row data'!$P$6:$P$29</c:f>
              <c:numCache>
                <c:formatCode>General</c:formatCode>
                <c:ptCount val="24"/>
                <c:pt idx="0">
                  <c:v>-45</c:v>
                </c:pt>
                <c:pt idx="1">
                  <c:v>-40</c:v>
                </c:pt>
                <c:pt idx="2">
                  <c:v>-36</c:v>
                </c:pt>
                <c:pt idx="3">
                  <c:v>-37</c:v>
                </c:pt>
                <c:pt idx="4">
                  <c:v>-35</c:v>
                </c:pt>
                <c:pt idx="5">
                  <c:v>-30</c:v>
                </c:pt>
                <c:pt idx="6">
                  <c:v>-25</c:v>
                </c:pt>
                <c:pt idx="7">
                  <c:v>-20</c:v>
                </c:pt>
                <c:pt idx="8">
                  <c:v>-15</c:v>
                </c:pt>
                <c:pt idx="9">
                  <c:v>-10</c:v>
                </c:pt>
                <c:pt idx="10">
                  <c:v>-5</c:v>
                </c:pt>
                <c:pt idx="11">
                  <c:v>0</c:v>
                </c:pt>
                <c:pt idx="12">
                  <c:v>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25</c:v>
                </c:pt>
                <c:pt idx="17">
                  <c:v>30</c:v>
                </c:pt>
                <c:pt idx="18">
                  <c:v>33</c:v>
                </c:pt>
                <c:pt idx="19">
                  <c:v>35</c:v>
                </c:pt>
                <c:pt idx="20">
                  <c:v>36</c:v>
                </c:pt>
                <c:pt idx="21">
                  <c:v>35.5</c:v>
                </c:pt>
                <c:pt idx="22">
                  <c:v>40</c:v>
                </c:pt>
                <c:pt idx="23">
                  <c:v>45</c:v>
                </c:pt>
              </c:numCache>
            </c:numRef>
          </c:xVal>
          <c:yVal>
            <c:numRef>
              <c:f>'row data'!$R$6:$R$29</c:f>
              <c:numCache>
                <c:formatCode>0.00%</c:formatCode>
                <c:ptCount val="24"/>
                <c:pt idx="0">
                  <c:v>0.32572249720581192</c:v>
                </c:pt>
                <c:pt idx="1">
                  <c:v>0.41449784448347443</c:v>
                </c:pt>
                <c:pt idx="2">
                  <c:v>0.5005588376177551</c:v>
                </c:pt>
                <c:pt idx="3">
                  <c:v>0.47900367236148816</c:v>
                </c:pt>
                <c:pt idx="4">
                  <c:v>0.52019798818457619</c:v>
                </c:pt>
                <c:pt idx="5">
                  <c:v>0.61631805843844811</c:v>
                </c:pt>
                <c:pt idx="6">
                  <c:v>0.71866517643301941</c:v>
                </c:pt>
                <c:pt idx="7">
                  <c:v>0.82883602107616172</c:v>
                </c:pt>
                <c:pt idx="8">
                  <c:v>0.89685454255149299</c:v>
                </c:pt>
                <c:pt idx="9">
                  <c:v>0.95305764010857419</c:v>
                </c:pt>
                <c:pt idx="10">
                  <c:v>0.98642822928309115</c:v>
                </c:pt>
                <c:pt idx="11">
                  <c:v>1</c:v>
                </c:pt>
                <c:pt idx="12">
                  <c:v>0.98786524030017575</c:v>
                </c:pt>
                <c:pt idx="13">
                  <c:v>0.95720900526904051</c:v>
                </c:pt>
                <c:pt idx="14">
                  <c:v>0.90228325083825656</c:v>
                </c:pt>
                <c:pt idx="15">
                  <c:v>0.81638192559476297</c:v>
                </c:pt>
                <c:pt idx="16">
                  <c:v>0.71611049018042472</c:v>
                </c:pt>
                <c:pt idx="17">
                  <c:v>0.61200702538719465</c:v>
                </c:pt>
                <c:pt idx="18">
                  <c:v>0.55660226728404927</c:v>
                </c:pt>
                <c:pt idx="19">
                  <c:v>0.51508861567938691</c:v>
                </c:pt>
                <c:pt idx="20">
                  <c:v>0.4948107935494172</c:v>
                </c:pt>
                <c:pt idx="21">
                  <c:v>0.50343285965192408</c:v>
                </c:pt>
                <c:pt idx="22">
                  <c:v>0.40747245728883924</c:v>
                </c:pt>
                <c:pt idx="23">
                  <c:v>0.31646175954015648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AAE-9C8D-7E44F4EB778A}"/>
            </c:ext>
          </c:extLst>
        </c:ser>
        <c:ser>
          <c:idx val="0"/>
          <c:order val="1"/>
          <c:tx>
            <c:v>_50</c:v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-70</c:v>
              </c:pt>
              <c:pt idx="1">
                <c:v>-60</c:v>
              </c:pt>
              <c:pt idx="2">
                <c:v>-50</c:v>
              </c:pt>
              <c:pt idx="3">
                <c:v>-40</c:v>
              </c:pt>
              <c:pt idx="4">
                <c:v>-30</c:v>
              </c:pt>
              <c:pt idx="5">
                <c:v>-20</c:v>
              </c:pt>
              <c:pt idx="6">
                <c:v>-10</c:v>
              </c:pt>
              <c:pt idx="7">
                <c:v>0</c:v>
              </c:pt>
              <c:pt idx="8">
                <c:v>10</c:v>
              </c:pt>
              <c:pt idx="9">
                <c:v>20</c:v>
              </c:pt>
              <c:pt idx="10">
                <c:v>30</c:v>
              </c:pt>
              <c:pt idx="11">
                <c:v>40</c:v>
              </c:pt>
              <c:pt idx="12">
                <c:v>50</c:v>
              </c:pt>
              <c:pt idx="13">
                <c:v>60</c:v>
              </c:pt>
              <c:pt idx="14">
                <c:v>70</c:v>
              </c:pt>
            </c:numLit>
          </c:xVal>
          <c:yVal>
            <c:numLit>
              <c:formatCode>General</c:formatCode>
              <c:ptCount val="15"/>
              <c:pt idx="0">
                <c:v>0.5</c:v>
              </c:pt>
              <c:pt idx="1">
                <c:v>0.5</c:v>
              </c:pt>
              <c:pt idx="2">
                <c:v>0.5</c:v>
              </c:pt>
              <c:pt idx="3">
                <c:v>0.5</c:v>
              </c:pt>
              <c:pt idx="4">
                <c:v>0.5</c:v>
              </c:pt>
              <c:pt idx="5">
                <c:v>0.5</c:v>
              </c:pt>
              <c:pt idx="6">
                <c:v>0.5</c:v>
              </c:pt>
              <c:pt idx="7">
                <c:v>0.5</c:v>
              </c:pt>
              <c:pt idx="8">
                <c:v>0.5</c:v>
              </c:pt>
              <c:pt idx="9">
                <c:v>0.5</c:v>
              </c:pt>
              <c:pt idx="10">
                <c:v>0.5</c:v>
              </c:pt>
              <c:pt idx="11">
                <c:v>0.5</c:v>
              </c:pt>
              <c:pt idx="12">
                <c:v>0.5</c:v>
              </c:pt>
              <c:pt idx="13">
                <c:v>0.5</c:v>
              </c:pt>
              <c:pt idx="14">
                <c:v>0.5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29B-4B26-8216-843C99002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09152"/>
        <c:axId val="90610688"/>
      </c:scatterChart>
      <c:valAx>
        <c:axId val="90609152"/>
        <c:scaling>
          <c:orientation val="minMax"/>
          <c:max val="80"/>
          <c:min val="-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610688"/>
        <c:crosses val="autoZero"/>
        <c:crossBetween val="midCat"/>
        <c:majorUnit val="10"/>
      </c:valAx>
      <c:valAx>
        <c:axId val="90610688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609152"/>
        <c:crosses val="max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80395158938471E-2"/>
          <c:y val="0.20614680018394602"/>
          <c:w val="0.83752150772820066"/>
          <c:h val="0.664453558323088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'row data'!$C$2</c:f>
              <c:strCache>
                <c:ptCount val="1"/>
                <c:pt idx="0">
                  <c:v>CU55</c:v>
                </c:pt>
              </c:strCache>
            </c:strRef>
          </c:tx>
          <c:spPr>
            <a:ln w="22225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'row data'!$B$6:$B$29</c:f>
              <c:numCache>
                <c:formatCode>General</c:formatCode>
                <c:ptCount val="24"/>
                <c:pt idx="0">
                  <c:v>-46.5</c:v>
                </c:pt>
                <c:pt idx="1">
                  <c:v>-45</c:v>
                </c:pt>
                <c:pt idx="2">
                  <c:v>-40</c:v>
                </c:pt>
                <c:pt idx="3">
                  <c:v>-35.5</c:v>
                </c:pt>
                <c:pt idx="4">
                  <c:v>-35</c:v>
                </c:pt>
                <c:pt idx="5">
                  <c:v>-30</c:v>
                </c:pt>
                <c:pt idx="6">
                  <c:v>-25</c:v>
                </c:pt>
                <c:pt idx="7">
                  <c:v>-20</c:v>
                </c:pt>
                <c:pt idx="8">
                  <c:v>-15</c:v>
                </c:pt>
                <c:pt idx="9">
                  <c:v>-10</c:v>
                </c:pt>
                <c:pt idx="10">
                  <c:v>-5</c:v>
                </c:pt>
                <c:pt idx="11">
                  <c:v>0</c:v>
                </c:pt>
                <c:pt idx="12">
                  <c:v>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25</c:v>
                </c:pt>
                <c:pt idx="17">
                  <c:v>30</c:v>
                </c:pt>
                <c:pt idx="18">
                  <c:v>34</c:v>
                </c:pt>
                <c:pt idx="19">
                  <c:v>35</c:v>
                </c:pt>
                <c:pt idx="20">
                  <c:v>40</c:v>
                </c:pt>
                <c:pt idx="21">
                  <c:v>45</c:v>
                </c:pt>
                <c:pt idx="22">
                  <c:v>46</c:v>
                </c:pt>
                <c:pt idx="23">
                  <c:v>50</c:v>
                </c:pt>
              </c:numCache>
            </c:numRef>
          </c:xVal>
          <c:yVal>
            <c:numRef>
              <c:f>'row data'!$D$6:$D$29</c:f>
              <c:numCache>
                <c:formatCode>0.00%</c:formatCode>
                <c:ptCount val="24"/>
                <c:pt idx="0">
                  <c:v>0.33333333333333331</c:v>
                </c:pt>
                <c:pt idx="1">
                  <c:v>0.3559322033898305</c:v>
                </c:pt>
                <c:pt idx="2">
                  <c:v>0.43220338983050849</c:v>
                </c:pt>
                <c:pt idx="3">
                  <c:v>0.49858757062146891</c:v>
                </c:pt>
                <c:pt idx="4">
                  <c:v>0.50706214689265539</c:v>
                </c:pt>
                <c:pt idx="5">
                  <c:v>0.60169491525423724</c:v>
                </c:pt>
                <c:pt idx="6">
                  <c:v>0.70621468926553677</c:v>
                </c:pt>
                <c:pt idx="7">
                  <c:v>0.81073446327683618</c:v>
                </c:pt>
                <c:pt idx="8">
                  <c:v>0.89689265536723162</c:v>
                </c:pt>
                <c:pt idx="9">
                  <c:v>0.9576271186440678</c:v>
                </c:pt>
                <c:pt idx="10">
                  <c:v>0.99011299435028244</c:v>
                </c:pt>
                <c:pt idx="11">
                  <c:v>1</c:v>
                </c:pt>
                <c:pt idx="12">
                  <c:v>0.97881355932203384</c:v>
                </c:pt>
                <c:pt idx="13">
                  <c:v>0.94209039548022599</c:v>
                </c:pt>
                <c:pt idx="14">
                  <c:v>0.87005649717514122</c:v>
                </c:pt>
                <c:pt idx="15">
                  <c:v>0.77401129943502822</c:v>
                </c:pt>
                <c:pt idx="16">
                  <c:v>0.66949152542372881</c:v>
                </c:pt>
                <c:pt idx="17">
                  <c:v>0.57203389830508478</c:v>
                </c:pt>
                <c:pt idx="18">
                  <c:v>0.50282485875706218</c:v>
                </c:pt>
                <c:pt idx="19">
                  <c:v>0.49011299435028249</c:v>
                </c:pt>
                <c:pt idx="20">
                  <c:v>0.41807909604519772</c:v>
                </c:pt>
                <c:pt idx="21">
                  <c:v>0.346045197740113</c:v>
                </c:pt>
                <c:pt idx="22">
                  <c:v>0.33615819209039549</c:v>
                </c:pt>
                <c:pt idx="23">
                  <c:v>0.2824858757062147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056-4D9F-A155-14377B331971}"/>
            </c:ext>
          </c:extLst>
        </c:ser>
        <c:ser>
          <c:idx val="1"/>
          <c:order val="1"/>
          <c:tx>
            <c:strRef>
              <c:f>'row data'!$Q$2</c:f>
              <c:strCache>
                <c:ptCount val="1"/>
                <c:pt idx="0">
                  <c:v>SL75 Inhouse DPOP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'row data'!$P$6:$P$29</c:f>
              <c:numCache>
                <c:formatCode>General</c:formatCode>
                <c:ptCount val="24"/>
                <c:pt idx="0">
                  <c:v>-45</c:v>
                </c:pt>
                <c:pt idx="1">
                  <c:v>-40</c:v>
                </c:pt>
                <c:pt idx="2">
                  <c:v>-36</c:v>
                </c:pt>
                <c:pt idx="3">
                  <c:v>-37</c:v>
                </c:pt>
                <c:pt idx="4">
                  <c:v>-35</c:v>
                </c:pt>
                <c:pt idx="5">
                  <c:v>-30</c:v>
                </c:pt>
                <c:pt idx="6">
                  <c:v>-25</c:v>
                </c:pt>
                <c:pt idx="7">
                  <c:v>-20</c:v>
                </c:pt>
                <c:pt idx="8">
                  <c:v>-15</c:v>
                </c:pt>
                <c:pt idx="9">
                  <c:v>-10</c:v>
                </c:pt>
                <c:pt idx="10">
                  <c:v>-5</c:v>
                </c:pt>
                <c:pt idx="11">
                  <c:v>0</c:v>
                </c:pt>
                <c:pt idx="12">
                  <c:v>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25</c:v>
                </c:pt>
                <c:pt idx="17">
                  <c:v>30</c:v>
                </c:pt>
                <c:pt idx="18">
                  <c:v>33</c:v>
                </c:pt>
                <c:pt idx="19">
                  <c:v>35</c:v>
                </c:pt>
                <c:pt idx="20">
                  <c:v>36</c:v>
                </c:pt>
                <c:pt idx="21">
                  <c:v>35.5</c:v>
                </c:pt>
                <c:pt idx="22">
                  <c:v>40</c:v>
                </c:pt>
                <c:pt idx="23">
                  <c:v>45</c:v>
                </c:pt>
              </c:numCache>
            </c:numRef>
          </c:xVal>
          <c:yVal>
            <c:numRef>
              <c:f>'row data'!$R$6:$R$29</c:f>
              <c:numCache>
                <c:formatCode>0.00%</c:formatCode>
                <c:ptCount val="24"/>
                <c:pt idx="0">
                  <c:v>0.32572249720581192</c:v>
                </c:pt>
                <c:pt idx="1">
                  <c:v>0.41449784448347443</c:v>
                </c:pt>
                <c:pt idx="2">
                  <c:v>0.5005588376177551</c:v>
                </c:pt>
                <c:pt idx="3">
                  <c:v>0.47900367236148816</c:v>
                </c:pt>
                <c:pt idx="4">
                  <c:v>0.52019798818457619</c:v>
                </c:pt>
                <c:pt idx="5">
                  <c:v>0.61631805843844811</c:v>
                </c:pt>
                <c:pt idx="6">
                  <c:v>0.71866517643301941</c:v>
                </c:pt>
                <c:pt idx="7">
                  <c:v>0.82883602107616172</c:v>
                </c:pt>
                <c:pt idx="8">
                  <c:v>0.89685454255149299</c:v>
                </c:pt>
                <c:pt idx="9">
                  <c:v>0.95305764010857419</c:v>
                </c:pt>
                <c:pt idx="10">
                  <c:v>0.98642822928309115</c:v>
                </c:pt>
                <c:pt idx="11">
                  <c:v>1</c:v>
                </c:pt>
                <c:pt idx="12">
                  <c:v>0.98786524030017575</c:v>
                </c:pt>
                <c:pt idx="13">
                  <c:v>0.95720900526904051</c:v>
                </c:pt>
                <c:pt idx="14">
                  <c:v>0.90228325083825656</c:v>
                </c:pt>
                <c:pt idx="15">
                  <c:v>0.81638192559476297</c:v>
                </c:pt>
                <c:pt idx="16">
                  <c:v>0.71611049018042472</c:v>
                </c:pt>
                <c:pt idx="17">
                  <c:v>0.61200702538719465</c:v>
                </c:pt>
                <c:pt idx="18">
                  <c:v>0.55660226728404927</c:v>
                </c:pt>
                <c:pt idx="19">
                  <c:v>0.51508861567938691</c:v>
                </c:pt>
                <c:pt idx="20">
                  <c:v>0.4948107935494172</c:v>
                </c:pt>
                <c:pt idx="21">
                  <c:v>0.50343285965192408</c:v>
                </c:pt>
                <c:pt idx="22">
                  <c:v>0.40747245728883924</c:v>
                </c:pt>
                <c:pt idx="23">
                  <c:v>0.31646175954015648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56-4D9F-A155-14377B331971}"/>
            </c:ext>
          </c:extLst>
        </c:ser>
        <c:ser>
          <c:idx val="2"/>
          <c:order val="2"/>
          <c:tx>
            <c:v>_50</c:v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-70</c:v>
              </c:pt>
              <c:pt idx="1">
                <c:v>-60</c:v>
              </c:pt>
              <c:pt idx="2">
                <c:v>-50</c:v>
              </c:pt>
              <c:pt idx="3">
                <c:v>-40</c:v>
              </c:pt>
              <c:pt idx="4">
                <c:v>-30</c:v>
              </c:pt>
              <c:pt idx="5">
                <c:v>-20</c:v>
              </c:pt>
              <c:pt idx="6">
                <c:v>-10</c:v>
              </c:pt>
              <c:pt idx="7">
                <c:v>0</c:v>
              </c:pt>
              <c:pt idx="8">
                <c:v>10</c:v>
              </c:pt>
              <c:pt idx="9">
                <c:v>20</c:v>
              </c:pt>
              <c:pt idx="10">
                <c:v>30</c:v>
              </c:pt>
              <c:pt idx="11">
                <c:v>40</c:v>
              </c:pt>
              <c:pt idx="12">
                <c:v>50</c:v>
              </c:pt>
              <c:pt idx="13">
                <c:v>60</c:v>
              </c:pt>
              <c:pt idx="14">
                <c:v>70</c:v>
              </c:pt>
            </c:numLit>
          </c:xVal>
          <c:yVal>
            <c:numLit>
              <c:formatCode>General</c:formatCode>
              <c:ptCount val="15"/>
              <c:pt idx="0">
                <c:v>0.5</c:v>
              </c:pt>
              <c:pt idx="1">
                <c:v>0.5</c:v>
              </c:pt>
              <c:pt idx="2">
                <c:v>0.5</c:v>
              </c:pt>
              <c:pt idx="3">
                <c:v>0.5</c:v>
              </c:pt>
              <c:pt idx="4">
                <c:v>0.5</c:v>
              </c:pt>
              <c:pt idx="5">
                <c:v>0.5</c:v>
              </c:pt>
              <c:pt idx="6">
                <c:v>0.5</c:v>
              </c:pt>
              <c:pt idx="7">
                <c:v>0.5</c:v>
              </c:pt>
              <c:pt idx="8">
                <c:v>0.5</c:v>
              </c:pt>
              <c:pt idx="9">
                <c:v>0.5</c:v>
              </c:pt>
              <c:pt idx="10">
                <c:v>0.5</c:v>
              </c:pt>
              <c:pt idx="11">
                <c:v>0.5</c:v>
              </c:pt>
              <c:pt idx="12">
                <c:v>0.5</c:v>
              </c:pt>
              <c:pt idx="13">
                <c:v>0.5</c:v>
              </c:pt>
              <c:pt idx="14">
                <c:v>0.5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A5D-4DEA-BF98-430FB2795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52672"/>
        <c:axId val="91058560"/>
      </c:scatterChart>
      <c:valAx>
        <c:axId val="91052672"/>
        <c:scaling>
          <c:orientation val="minMax"/>
          <c:max val="80"/>
          <c:min val="-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058560"/>
        <c:crosses val="autoZero"/>
        <c:crossBetween val="midCat"/>
        <c:majorUnit val="10"/>
      </c:valAx>
      <c:valAx>
        <c:axId val="91058560"/>
        <c:scaling>
          <c:orientation val="minMax"/>
          <c:max val="1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052672"/>
        <c:crosses val="max"/>
        <c:crossBetween val="midCat"/>
        <c:majorUnit val="0.1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1.4284047827354911E-2"/>
          <c:y val="5.8933324671217369E-2"/>
          <c:w val="0.27467246281714786"/>
          <c:h val="0.14311302883378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</xdr:rowOff>
    </xdr:from>
    <xdr:to>
      <xdr:col>28</xdr:col>
      <xdr:colOff>0</xdr:colOff>
      <xdr:row>24</xdr:row>
      <xdr:rowOff>1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9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0.08624</cdr:x>
      <cdr:y>0.0069</cdr:y>
    </cdr:from>
    <cdr:to>
      <cdr:x>0.84411</cdr:x>
      <cdr:y>0.14253</cdr:y>
    </cdr:to>
    <cdr:sp macro="" textlink="'row data'!$Q$4">
      <cdr:nvSpPr>
        <cdr:cNvPr id="2" name="TextBox 1"/>
        <cdr:cNvSpPr txBox="1"/>
      </cdr:nvSpPr>
      <cdr:spPr>
        <a:xfrm xmlns:a="http://schemas.openxmlformats.org/drawingml/2006/main">
          <a:off x="471714" y="18778"/>
          <a:ext cx="4145643" cy="3691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357D3C2A-ABD2-4BFD-ACC3-6F55967E0B46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SL75 Inhouse DPOP V/A: 71.5</a:t>
          </a:fld>
          <a:endParaRPr lang="en-US" sz="20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0.12679</cdr:x>
      <cdr:y>0.03295</cdr:y>
    </cdr:from>
    <cdr:to>
      <cdr:x>0.78783</cdr:x>
      <cdr:y>0.15257</cdr:y>
    </cdr:to>
    <cdr:sp macro="" textlink="'row data'!$C$4">
      <cdr:nvSpPr>
        <cdr:cNvPr id="2" name="TextBox 1"/>
        <cdr:cNvSpPr txBox="1"/>
      </cdr:nvSpPr>
      <cdr:spPr>
        <a:xfrm xmlns:a="http://schemas.openxmlformats.org/drawingml/2006/main">
          <a:off x="618353" y="91019"/>
          <a:ext cx="3223740" cy="3304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05E592F3-7767-4773-88CB-FC522D9DBF58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CU55 V/A: 69.5</a:t>
          </a:fld>
          <a:endParaRPr lang="en-US" sz="24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raw"/>
  <dimension ref="B2:T36"/>
  <sheetViews>
    <sheetView tabSelected="1" zoomScale="70" zoomScaleNormal="70" workbookViewId="0">
      <selection activeCell="C3" sqref="C3"/>
    </sheetView>
  </sheetViews>
  <sheetFormatPr defaultRowHeight="15.75" x14ac:dyDescent="0.25"/>
  <cols>
    <col min="1" max="16384" width="9" style="1"/>
  </cols>
  <sheetData>
    <row r="2" spans="2:20" x14ac:dyDescent="0.25">
      <c r="B2" s="2" t="s">
        <v>2</v>
      </c>
      <c r="C2" s="3" t="s">
        <v>0</v>
      </c>
      <c r="P2" s="2" t="s">
        <v>2</v>
      </c>
      <c r="Q2" s="3" t="s">
        <v>1</v>
      </c>
    </row>
    <row r="3" spans="2:20" x14ac:dyDescent="0.25">
      <c r="B3" s="2" t="s">
        <v>3</v>
      </c>
      <c r="C3" s="3">
        <f ca="1">ABS(INDEX(B6:B17,find_most_closest_number_row(0.5,D6:D17)))+ABS(INDEX(B17:B29,find_most_closest_number_row(0.5,D17:D29)))</f>
        <v>69.5</v>
      </c>
      <c r="P3" s="2" t="s">
        <v>3</v>
      </c>
      <c r="Q3" s="3">
        <f ca="1">ABS(INDEX(P6:P17,find_most_closest_number_row(0.5,R6:R17)))+ABS(INDEX(P17:P29,find_most_closest_number_row(0.5,R17:R29)))</f>
        <v>71.5</v>
      </c>
      <c r="T3" s="4"/>
    </row>
    <row r="4" spans="2:20" x14ac:dyDescent="0.25">
      <c r="B4" s="2" t="s">
        <v>4</v>
      </c>
      <c r="C4" s="3" t="str">
        <f ca="1">C2&amp; " V/A: " &amp;C3</f>
        <v>CU55 V/A: 69.5</v>
      </c>
      <c r="P4" s="2" t="s">
        <v>4</v>
      </c>
      <c r="Q4" s="3" t="str">
        <f ca="1">Q2&amp; " V/A: " &amp;Q3</f>
        <v>SL75 Inhouse DPOP V/A: 71.5</v>
      </c>
    </row>
    <row r="5" spans="2:20" x14ac:dyDescent="0.25">
      <c r="D5" s="5"/>
    </row>
    <row r="6" spans="2:20" x14ac:dyDescent="0.25">
      <c r="B6" s="3">
        <v>-46.5</v>
      </c>
      <c r="C6" s="3">
        <v>236</v>
      </c>
      <c r="D6" s="6">
        <f t="shared" ref="D6:D16" si="0">C6/$C$17</f>
        <v>0.33333333333333331</v>
      </c>
      <c r="P6" s="3">
        <v>-45</v>
      </c>
      <c r="Q6" s="3">
        <v>204</v>
      </c>
      <c r="R6" s="6">
        <f>Q6/$Q$17</f>
        <v>0.32572249720581192</v>
      </c>
      <c r="S6" s="7"/>
    </row>
    <row r="7" spans="2:20" x14ac:dyDescent="0.25">
      <c r="B7" s="3">
        <v>-45</v>
      </c>
      <c r="C7" s="3">
        <v>252</v>
      </c>
      <c r="D7" s="6">
        <f t="shared" si="0"/>
        <v>0.3559322033898305</v>
      </c>
      <c r="P7" s="3">
        <v>-40</v>
      </c>
      <c r="Q7" s="3">
        <v>259.60000000000002</v>
      </c>
      <c r="R7" s="6">
        <f>Q7/$Q$17</f>
        <v>0.41449784448347443</v>
      </c>
      <c r="S7" s="7"/>
    </row>
    <row r="8" spans="2:20" x14ac:dyDescent="0.25">
      <c r="B8" s="3">
        <v>-40</v>
      </c>
      <c r="C8" s="3">
        <v>306</v>
      </c>
      <c r="D8" s="6">
        <f t="shared" si="0"/>
        <v>0.43220338983050849</v>
      </c>
      <c r="P8" s="3">
        <v>-36</v>
      </c>
      <c r="Q8" s="3">
        <v>313.5</v>
      </c>
      <c r="R8" s="6">
        <f t="shared" ref="R8:R17" si="1">Q8/$Q$17</f>
        <v>0.5005588376177551</v>
      </c>
      <c r="S8" s="4"/>
    </row>
    <row r="9" spans="2:20" x14ac:dyDescent="0.25">
      <c r="B9" s="3">
        <v>-35.5</v>
      </c>
      <c r="C9" s="3">
        <v>353</v>
      </c>
      <c r="D9" s="6">
        <f t="shared" si="0"/>
        <v>0.49858757062146891</v>
      </c>
      <c r="P9" s="3">
        <v>-37</v>
      </c>
      <c r="Q9" s="3">
        <v>300</v>
      </c>
      <c r="R9" s="6">
        <f t="shared" si="1"/>
        <v>0.47900367236148816</v>
      </c>
      <c r="S9" s="4"/>
    </row>
    <row r="10" spans="2:20" x14ac:dyDescent="0.25">
      <c r="B10" s="3">
        <v>-35</v>
      </c>
      <c r="C10" s="3">
        <v>359</v>
      </c>
      <c r="D10" s="6">
        <f t="shared" si="0"/>
        <v>0.50706214689265539</v>
      </c>
      <c r="P10" s="3">
        <v>-35</v>
      </c>
      <c r="Q10" s="3">
        <v>325.8</v>
      </c>
      <c r="R10" s="6">
        <f t="shared" si="1"/>
        <v>0.52019798818457619</v>
      </c>
      <c r="S10" s="4"/>
    </row>
    <row r="11" spans="2:20" x14ac:dyDescent="0.25">
      <c r="B11" s="3">
        <v>-30</v>
      </c>
      <c r="C11" s="3">
        <v>426</v>
      </c>
      <c r="D11" s="6">
        <f t="shared" si="0"/>
        <v>0.60169491525423724</v>
      </c>
      <c r="P11" s="3">
        <v>-30</v>
      </c>
      <c r="Q11" s="3">
        <v>386</v>
      </c>
      <c r="R11" s="6">
        <f t="shared" si="1"/>
        <v>0.61631805843844811</v>
      </c>
      <c r="S11" s="4"/>
    </row>
    <row r="12" spans="2:20" x14ac:dyDescent="0.25">
      <c r="B12" s="3">
        <v>-25</v>
      </c>
      <c r="C12" s="3">
        <v>500</v>
      </c>
      <c r="D12" s="6">
        <f t="shared" si="0"/>
        <v>0.70621468926553677</v>
      </c>
      <c r="P12" s="3">
        <v>-25</v>
      </c>
      <c r="Q12" s="3">
        <v>450.1</v>
      </c>
      <c r="R12" s="6">
        <f t="shared" si="1"/>
        <v>0.71866517643301941</v>
      </c>
      <c r="S12" s="4"/>
    </row>
    <row r="13" spans="2:20" x14ac:dyDescent="0.25">
      <c r="B13" s="3">
        <v>-20</v>
      </c>
      <c r="C13" s="3">
        <v>574</v>
      </c>
      <c r="D13" s="6">
        <f t="shared" si="0"/>
        <v>0.81073446327683618</v>
      </c>
      <c r="P13" s="3">
        <v>-20</v>
      </c>
      <c r="Q13" s="3">
        <v>519.1</v>
      </c>
      <c r="R13" s="6">
        <f t="shared" si="1"/>
        <v>0.82883602107616172</v>
      </c>
      <c r="S13" s="4"/>
    </row>
    <row r="14" spans="2:20" x14ac:dyDescent="0.25">
      <c r="B14" s="3">
        <v>-15</v>
      </c>
      <c r="C14" s="3">
        <v>635</v>
      </c>
      <c r="D14" s="6">
        <f t="shared" si="0"/>
        <v>0.89689265536723162</v>
      </c>
      <c r="P14" s="3">
        <v>-15</v>
      </c>
      <c r="Q14" s="3">
        <v>561.70000000000005</v>
      </c>
      <c r="R14" s="6">
        <f t="shared" si="1"/>
        <v>0.89685454255149299</v>
      </c>
      <c r="S14" s="4"/>
    </row>
    <row r="15" spans="2:20" x14ac:dyDescent="0.25">
      <c r="B15" s="3">
        <v>-10</v>
      </c>
      <c r="C15" s="3">
        <v>678</v>
      </c>
      <c r="D15" s="6">
        <f t="shared" si="0"/>
        <v>0.9576271186440678</v>
      </c>
      <c r="P15" s="3">
        <v>-10</v>
      </c>
      <c r="Q15" s="3">
        <v>596.9</v>
      </c>
      <c r="R15" s="6">
        <f t="shared" si="1"/>
        <v>0.95305764010857419</v>
      </c>
      <c r="S15" s="4"/>
    </row>
    <row r="16" spans="2:20" x14ac:dyDescent="0.25">
      <c r="B16" s="3">
        <v>-5</v>
      </c>
      <c r="C16" s="3">
        <v>701</v>
      </c>
      <c r="D16" s="6">
        <f t="shared" si="0"/>
        <v>0.99011299435028244</v>
      </c>
      <c r="P16" s="3">
        <v>-5</v>
      </c>
      <c r="Q16" s="3">
        <v>617.79999999999995</v>
      </c>
      <c r="R16" s="6">
        <f t="shared" si="1"/>
        <v>0.98642822928309115</v>
      </c>
      <c r="S16" s="4"/>
    </row>
    <row r="17" spans="2:19" ht="16.5" thickBot="1" x14ac:dyDescent="0.3">
      <c r="B17" s="8">
        <v>0</v>
      </c>
      <c r="C17" s="8">
        <v>708</v>
      </c>
      <c r="D17" s="9">
        <f>C17/$C$17</f>
        <v>1</v>
      </c>
      <c r="P17" s="8">
        <v>0</v>
      </c>
      <c r="Q17" s="8">
        <v>626.29999999999995</v>
      </c>
      <c r="R17" s="9">
        <f t="shared" si="1"/>
        <v>1</v>
      </c>
      <c r="S17" s="4"/>
    </row>
    <row r="18" spans="2:19" x14ac:dyDescent="0.25">
      <c r="B18" s="3">
        <v>5</v>
      </c>
      <c r="C18" s="3">
        <v>693</v>
      </c>
      <c r="D18" s="6">
        <f t="shared" ref="D18:D29" si="2">C18/$C$17</f>
        <v>0.97881355932203384</v>
      </c>
      <c r="P18" s="3">
        <v>5</v>
      </c>
      <c r="Q18" s="3">
        <v>618.70000000000005</v>
      </c>
      <c r="R18" s="6">
        <f>Q18/$Q$17</f>
        <v>0.98786524030017575</v>
      </c>
      <c r="S18" s="4"/>
    </row>
    <row r="19" spans="2:19" x14ac:dyDescent="0.25">
      <c r="B19" s="3">
        <v>10</v>
      </c>
      <c r="C19" s="3">
        <v>667</v>
      </c>
      <c r="D19" s="6">
        <f t="shared" si="2"/>
        <v>0.94209039548022599</v>
      </c>
      <c r="P19" s="3">
        <v>10</v>
      </c>
      <c r="Q19" s="3">
        <v>599.5</v>
      </c>
      <c r="R19" s="6">
        <f t="shared" ref="R19:R29" si="3">Q19/$Q$17</f>
        <v>0.95720900526904051</v>
      </c>
      <c r="S19" s="4"/>
    </row>
    <row r="20" spans="2:19" x14ac:dyDescent="0.25">
      <c r="B20" s="3">
        <v>15</v>
      </c>
      <c r="C20" s="3">
        <v>616</v>
      </c>
      <c r="D20" s="6">
        <f t="shared" si="2"/>
        <v>0.87005649717514122</v>
      </c>
      <c r="P20" s="3">
        <v>15</v>
      </c>
      <c r="Q20" s="3">
        <v>565.1</v>
      </c>
      <c r="R20" s="6">
        <f t="shared" si="3"/>
        <v>0.90228325083825656</v>
      </c>
      <c r="S20" s="4"/>
    </row>
    <row r="21" spans="2:19" x14ac:dyDescent="0.25">
      <c r="B21" s="3">
        <v>20</v>
      </c>
      <c r="C21" s="3">
        <v>548</v>
      </c>
      <c r="D21" s="6">
        <f t="shared" si="2"/>
        <v>0.77401129943502822</v>
      </c>
      <c r="P21" s="3">
        <v>20</v>
      </c>
      <c r="Q21" s="3">
        <v>511.3</v>
      </c>
      <c r="R21" s="6">
        <f t="shared" si="3"/>
        <v>0.81638192559476297</v>
      </c>
      <c r="S21" s="4"/>
    </row>
    <row r="22" spans="2:19" x14ac:dyDescent="0.25">
      <c r="B22" s="3">
        <v>25</v>
      </c>
      <c r="C22" s="3">
        <v>474</v>
      </c>
      <c r="D22" s="6">
        <f t="shared" si="2"/>
        <v>0.66949152542372881</v>
      </c>
      <c r="P22" s="3">
        <v>25</v>
      </c>
      <c r="Q22" s="3">
        <v>448.5</v>
      </c>
      <c r="R22" s="6">
        <f t="shared" si="3"/>
        <v>0.71611049018042472</v>
      </c>
      <c r="S22" s="4"/>
    </row>
    <row r="23" spans="2:19" x14ac:dyDescent="0.25">
      <c r="B23" s="3">
        <v>30</v>
      </c>
      <c r="C23" s="3">
        <v>405</v>
      </c>
      <c r="D23" s="6">
        <f t="shared" si="2"/>
        <v>0.57203389830508478</v>
      </c>
      <c r="P23" s="3">
        <v>30</v>
      </c>
      <c r="Q23" s="3">
        <v>383.3</v>
      </c>
      <c r="R23" s="6">
        <f t="shared" si="3"/>
        <v>0.61200702538719465</v>
      </c>
      <c r="S23" s="4"/>
    </row>
    <row r="24" spans="2:19" x14ac:dyDescent="0.25">
      <c r="B24" s="3">
        <v>34</v>
      </c>
      <c r="C24" s="3">
        <v>356</v>
      </c>
      <c r="D24" s="6">
        <f t="shared" si="2"/>
        <v>0.50282485875706218</v>
      </c>
      <c r="P24" s="3">
        <v>33</v>
      </c>
      <c r="Q24" s="3">
        <v>348.6</v>
      </c>
      <c r="R24" s="6">
        <f t="shared" si="3"/>
        <v>0.55660226728404927</v>
      </c>
      <c r="S24" s="4"/>
    </row>
    <row r="25" spans="2:19" x14ac:dyDescent="0.25">
      <c r="B25" s="3">
        <v>35</v>
      </c>
      <c r="C25" s="3">
        <v>347</v>
      </c>
      <c r="D25" s="6">
        <f t="shared" si="2"/>
        <v>0.49011299435028249</v>
      </c>
      <c r="P25" s="3">
        <v>35</v>
      </c>
      <c r="Q25" s="3">
        <v>322.60000000000002</v>
      </c>
      <c r="R25" s="6">
        <f t="shared" si="3"/>
        <v>0.51508861567938691</v>
      </c>
      <c r="S25" s="4"/>
    </row>
    <row r="26" spans="2:19" x14ac:dyDescent="0.25">
      <c r="B26" s="3">
        <v>40</v>
      </c>
      <c r="C26" s="3">
        <v>296</v>
      </c>
      <c r="D26" s="6">
        <f t="shared" si="2"/>
        <v>0.41807909604519772</v>
      </c>
      <c r="P26" s="3">
        <v>36</v>
      </c>
      <c r="Q26" s="3">
        <v>309.89999999999998</v>
      </c>
      <c r="R26" s="6">
        <f t="shared" si="3"/>
        <v>0.4948107935494172</v>
      </c>
      <c r="S26" s="4"/>
    </row>
    <row r="27" spans="2:19" x14ac:dyDescent="0.25">
      <c r="B27" s="3">
        <v>45</v>
      </c>
      <c r="C27" s="3">
        <v>245</v>
      </c>
      <c r="D27" s="6">
        <f t="shared" si="2"/>
        <v>0.346045197740113</v>
      </c>
      <c r="P27" s="3">
        <v>35.5</v>
      </c>
      <c r="Q27" s="3">
        <v>315.3</v>
      </c>
      <c r="R27" s="6">
        <f t="shared" si="3"/>
        <v>0.50343285965192408</v>
      </c>
      <c r="S27" s="4"/>
    </row>
    <row r="28" spans="2:19" x14ac:dyDescent="0.25">
      <c r="B28" s="3">
        <v>46</v>
      </c>
      <c r="C28" s="3">
        <v>238</v>
      </c>
      <c r="D28" s="6">
        <f t="shared" si="2"/>
        <v>0.33615819209039549</v>
      </c>
      <c r="P28" s="3">
        <v>40</v>
      </c>
      <c r="Q28" s="3">
        <v>255.2</v>
      </c>
      <c r="R28" s="6">
        <f t="shared" si="3"/>
        <v>0.40747245728883924</v>
      </c>
      <c r="S28" s="4"/>
    </row>
    <row r="29" spans="2:19" x14ac:dyDescent="0.25">
      <c r="B29" s="3">
        <v>50</v>
      </c>
      <c r="C29" s="3">
        <v>200</v>
      </c>
      <c r="D29" s="6">
        <f t="shared" si="2"/>
        <v>0.2824858757062147</v>
      </c>
      <c r="P29" s="3">
        <v>45</v>
      </c>
      <c r="Q29" s="3">
        <v>198.2</v>
      </c>
      <c r="R29" s="6">
        <f t="shared" si="3"/>
        <v>0.31646175954015648</v>
      </c>
      <c r="S29" s="4"/>
    </row>
    <row r="36" spans="4:4" x14ac:dyDescent="0.25">
      <c r="D36" s="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row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 panel-Design</cp:lastModifiedBy>
  <dcterms:created xsi:type="dcterms:W3CDTF">2006-09-16T00:00:00Z</dcterms:created>
  <dcterms:modified xsi:type="dcterms:W3CDTF">2019-09-25T05:34:40Z</dcterms:modified>
</cp:coreProperties>
</file>